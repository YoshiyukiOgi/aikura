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5ea56ee6f6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マイナス在庫一覧" sheetId="1" r:id="R18f3e1389e114d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&quot;件&quot;"/>
    <x:numFmt numFmtId="202" formatCode="#,##0.0000;[Red]-#,##0.0000"/>
    <x:numFmt numFmtId="203" formatCode="#,##0"/>
    <x:numFmt numFmtId="204" formatCode="@"/>
  </x:numFmts>
  <x:fonts count="8">
    <x:font>
      <x:sz val="11"/>
      <x:name val="Carlito"/>
    </x:font>
    <x:font>
      <x:b/>
      <x:sz val="18"/>
      <x:color rgb="FFFFFFFF"/>
      <x:name val="Yu Gothic"/>
    </x:font>
    <x:font>
      <x:sz val="10"/>
      <x:color rgb="FF274B5A"/>
      <x:name val="Yu Gothic"/>
    </x:font>
    <x:font>
      <x:b/>
      <x:sz val="11"/>
      <x:color rgb="FF173B4D"/>
      <x:name val="Yu Gothic"/>
    </x:font>
    <x:font>
      <x:b/>
      <x:sz val="11"/>
      <x:color rgb="FFA12727"/>
      <x:name val="Yu Gothic"/>
    </x:font>
    <x:font>
      <x:sz val="10"/>
      <x:color rgb="FF624B13"/>
      <x:name val="Yu Gothic"/>
    </x:font>
    <x:font>
      <x:sz val="10"/>
      <x:name val="Yu Gothic"/>
    </x:font>
    <x:font>
      <x:b/>
      <x:sz val="10"/>
      <x:color rgb="FFFFFFFF"/>
      <x:name val="Yu 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173B4D"/>
      </x:patternFill>
    </x:fill>
    <x:fill>
      <x:patternFill patternType="solid">
        <x:fgColor rgb="FFEAF1F4"/>
      </x:patternFill>
    </x:fill>
    <x:fill>
      <x:patternFill patternType="solid">
        <x:fgColor rgb="FFD9E7EC"/>
      </x:patternFill>
    </x:fill>
    <x:fill>
      <x:patternFill patternType="solid">
        <x:fgColor rgb="FFFFFFFF"/>
      </x:patternFill>
    </x:fill>
    <x:fill>
      <x:patternFill patternType="solid">
        <x:fgColor rgb="FFFFF6DD"/>
      </x:patternFill>
    </x:fill>
    <x:fill>
      <x:patternFill patternType="solid">
        <x:fgColor rgb="FF315B6B"/>
      </x:patternFill>
    </x:fill>
  </x:fills>
  <x:borders count="12">
    <x:border/>
    <x:border>
      <x:left style="thin">
        <x:color rgb="FFA8BBC3"/>
      </x:left>
      <x:right style="thin">
        <x:color rgb="FFA8BBC3"/>
      </x:right>
      <x:top style="thin">
        <x:color rgb="FFA8BBC3"/>
      </x:top>
    </x:border>
    <x:border>
      <x:left style="thin">
        <x:color rgb="FFA8BBC3"/>
      </x:left>
      <x:right style="thin">
        <x:color rgb="FFA8BBC3"/>
      </x:right>
    </x:border>
    <x:border>
      <x:left style="thin">
        <x:color rgb="FFA8BBC3"/>
      </x:left>
      <x:right style="thin">
        <x:color rgb="FFA8BBC3"/>
      </x:right>
      <x:bottom style="thin">
        <x:color rgb="FFA8BBC3"/>
      </x:bottom>
    </x:border>
    <x:border>
      <x:left style="thin">
        <x:color rgb="FFE2C872"/>
      </x:left>
      <x:top style="thin">
        <x:color rgb="FFE2C872"/>
      </x:top>
    </x:border>
    <x:border>
      <x:top style="thin">
        <x:color rgb="FFE2C872"/>
      </x:top>
    </x:border>
    <x:border>
      <x:right style="thin">
        <x:color rgb="FFE2C872"/>
      </x:right>
      <x:top style="thin">
        <x:color rgb="FFE2C872"/>
      </x:top>
    </x:border>
    <x:border>
      <x:left style="thin">
        <x:color rgb="FFE2C872"/>
      </x:left>
    </x:border>
    <x:border>
      <x:right style="thin">
        <x:color rgb="FFE2C872"/>
      </x:right>
    </x:border>
    <x:border>
      <x:left style="thin">
        <x:color rgb="FFE2C872"/>
      </x:left>
      <x:bottom style="thin">
        <x:color rgb="FFE2C872"/>
      </x:bottom>
    </x:border>
    <x:border>
      <x:bottom style="thin">
        <x:color rgb="FFE2C872"/>
      </x:bottom>
    </x:border>
    <x:border>
      <x:right style="thin">
        <x:color rgb="FFE2C872"/>
      </x:right>
      <x:bottom style="thin">
        <x:color rgb="FFE2C872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200" fontId="4" fillId="5" borderId="1" xfId="0" applyNumberFormat="1" applyFont="1" applyFill="1" applyBorder="1"/>
    <x:xf numFmtId="201" fontId="4" fillId="5" borderId="2" xfId="0" applyNumberFormat="1" applyFont="1" applyFill="1" applyBorder="1"/>
    <x:xf numFmtId="202" fontId="4" fillId="5" borderId="3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202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6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203" fontId="6" fillId="0" borderId="0" xfId="0" applyNumberFormat="1" applyFont="1" applyFill="1" applyBorder="1" applyAlignment="1">
      <x:alignment horizontal="center"/>
    </x:xf>
    <x:xf numFmtId="204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/>
    </x:xf>
    <x:xf numFmtId="202" fontId="6" fillId="0" borderId="0" xfId="0" applyNumberFormat="1" applyFont="1" applyFill="1" applyBorder="1" applyAlignment="1">
      <x:alignment horizontal="right"/>
    </x:xf>
    <x:xf numFmtId="200" fontId="6" fillId="0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A12727"/>
      </x:font>
      <x:fill>
        <x:patternFill patternType="solid">
          <x:bgColor rgb="FFFD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1d30a96f3a4df3" /><Relationship Type="http://schemas.openxmlformats.org/officeDocument/2006/relationships/theme" Target="/xl/theme/theme1.xml" Id="R60ac42b2e8f440bb" /><Relationship Type="http://schemas.openxmlformats.org/officeDocument/2006/relationships/sharedStrings" Target="/xl/sharedStrings.xml" Id="R3aaf0ea4b2224bd2" /><Relationship Type="http://schemas.openxmlformats.org/officeDocument/2006/relationships/worksheet" Target="/xl/worksheets/sheet1.xml" Id="R18f3e1389e114d91" /></Relationships>
</file>

<file path=xl/tables/table1.xml><?xml version="1.0" encoding="utf-8"?>
<x:table xmlns:x="http://schemas.openxmlformats.org/spreadsheetml/2006/main" id="1" name="NegativeStockTable" displayName="NegativeStockTable" ref="A9:N124" headerRowCount="1" totalsRowCount="0" totalsRowShown="0">
  <x:autoFilter ref="A9:N124"/>
  <x:tableColumns count="14">
    <x:tableColumn id="1" name="No."/>
    <x:tableColumn id="2" name="旧商品ID"/>
    <x:tableColumn id="3" name="商品コード"/>
    <x:tableColumn id="4" name="商品名"/>
    <x:tableColumn id="5" name="商品種別"/>
    <x:tableColumn id="6" name="旧詳細ID"/>
    <x:tableColumn id="7" name="詳細名"/>
    <x:tableColumn id="8" name="増加数量"/>
    <x:tableColumn id="9" name="減少数量"/>
    <x:tableColumn id="10" name="出荷数量"/>
    <x:tableColumn id="11" name="返品数量"/>
    <x:tableColumn id="12" name="計算在庫"/>
    <x:tableColumn id="13" name="初回活動日"/>
    <x:tableColumn id="14" name="最終活動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86f6a4176f49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17" hidden="0" customWidth="1"/>
    <x:col min="4" max="4" width="34" hidden="0" customWidth="1"/>
    <x:col min="5" max="5" width="11" hidden="0" customWidth="1"/>
    <x:col min="6" max="6" width="11" hidden="0" customWidth="1"/>
    <x:col min="7" max="7" width="2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5" hidden="0" customWidth="1"/>
    <x:col min="13" max="13" width="13" hidden="0" customWidth="1"/>
    <x:col min="14" max="14" width="13" hidden="0" customWidth="1"/>
  </x:cols>
  <x:sheetData>
    <x:row r="1" ht="34" customHeight="1">
      <x:c r="A1" s="3" t="str">
        <x:v>Itaro-XP 商品詳細別 マイナス在庫一覧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Itaro-XP移行バッチ5を基に、2026-07-31時点の計算在庫が0未満の明細のみ抽出。計算在庫 = 増加 - 減少 - 出荷 + 返品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9" t="str">
        <x:v>基準日</x:v>
      </x:c>
      <x:c r="B4" s="15" t="n">
        <x:v>46234</x:v>
      </x:c>
      <x:c r="D4" s="37" t="str">
        <x:v>確認の目安
・旧商品IDと旧詳細IDでItaro-XP原本を照合してください。
・負数は取込エラーとは限らず、過去の初期在庫不足や詳細ID変更でも発生します。
・修正する場合は原因を確認し、元データまたは開始在庫のどちらを直すか決めてください。</x:v>
      </x:c>
      <x:c r="E4" s="38"/>
      <x:c r="F4" s="38"/>
      <x:c r="G4" s="38"/>
      <x:c r="H4" s="38"/>
      <x:c r="I4" s="38"/>
      <x:c r="J4" s="38"/>
      <x:c r="K4" s="38"/>
      <x:c r="L4" s="38"/>
      <x:c r="M4" s="38"/>
      <x:c r="N4" s="39"/>
    </x:row>
    <x:row r="5">
      <x:c r="A5" s="9" t="str">
        <x:v>対象件数</x:v>
      </x:c>
      <x:c r="B5" s="16" t="n">
        <x:f>COUNT(L10:L124)</x:f>
        <x:v>115</x:v>
      </x:c>
      <x:c r="D5" s="40"/>
      <x:c r="E5" s="41"/>
      <x:c r="F5" s="41"/>
      <x:c r="G5" s="41"/>
      <x:c r="H5" s="41"/>
      <x:c r="I5" s="41"/>
      <x:c r="J5" s="41"/>
      <x:c r="K5" s="41"/>
      <x:c r="L5" s="41"/>
      <x:c r="M5" s="41"/>
      <x:c r="N5" s="42"/>
    </x:row>
    <x:row r="6">
      <x:c r="A6" s="9" t="str">
        <x:v>計算在庫合計</x:v>
      </x:c>
      <x:c r="B6" s="17" t="n">
        <x:f>SUM(L10:L124)</x:f>
        <x:v>-188766</x:v>
      </x:c>
      <x:c r="D6" s="43"/>
      <x:c r="E6" s="44"/>
      <x:c r="F6" s="44"/>
      <x:c r="G6" s="44"/>
      <x:c r="H6" s="44"/>
      <x:c r="I6" s="44"/>
      <x:c r="J6" s="44"/>
      <x:c r="K6" s="44"/>
      <x:c r="L6" s="44"/>
      <x:c r="M6" s="44"/>
      <x:c r="N6" s="45"/>
    </x:row>
    <x:row r="9" ht="30" customHeight="1">
      <x:c r="A9" s="59" t="str">
        <x:v>No.</x:v>
      </x:c>
      <x:c r="B9" s="59" t="str">
        <x:v>旧商品ID</x:v>
      </x:c>
      <x:c r="C9" s="59" t="str">
        <x:v>商品コード</x:v>
      </x:c>
      <x:c r="D9" s="59" t="str">
        <x:v>商品名</x:v>
      </x:c>
      <x:c r="E9" s="59" t="str">
        <x:v>商品種別</x:v>
      </x:c>
      <x:c r="F9" s="59" t="str">
        <x:v>旧詳細ID</x:v>
      </x:c>
      <x:c r="G9" s="59" t="str">
        <x:v>詳細名</x:v>
      </x:c>
      <x:c r="H9" s="59" t="str">
        <x:v>増加数量</x:v>
      </x:c>
      <x:c r="I9" s="59" t="str">
        <x:v>減少数量</x:v>
      </x:c>
      <x:c r="J9" s="59" t="str">
        <x:v>出荷数量</x:v>
      </x:c>
      <x:c r="K9" s="59" t="str">
        <x:v>返品数量</x:v>
      </x:c>
      <x:c r="L9" s="59" t="str">
        <x:v>計算在庫</x:v>
      </x:c>
      <x:c r="M9" s="59" t="str">
        <x:v>初回活動日</x:v>
      </x:c>
      <x:c r="N9" s="59" t="str">
        <x:v>最終活動日</x:v>
      </x:c>
    </x:row>
    <x:row r="10" ht="22" customHeight="1">
      <x:c r="A10" s="60" t="n">
        <x:v>1</x:v>
      </x:c>
      <x:c r="B10" s="61" t="str">
        <x:v>761</x:v>
      </x:c>
      <x:c r="C10" s="62" t="str">
        <x:v>ITARO-P-00761</x:v>
      </x:c>
      <x:c r="D10" s="65" t="str">
        <x:v>安芸虎 山田錦50% 純米吟醸 1800ml</x:v>
      </x:c>
      <x:c r="E10" s="62" t="str">
        <x:v>清酒</x:v>
      </x:c>
      <x:c r="F10" s="61" t="str">
        <x:v>582</x:v>
      </x:c>
      <x:c r="G10" s="65" t="str">
        <x:v>初期</x:v>
      </x:c>
      <x:c r="H10" s="63" t="n">
        <x:v>679</x:v>
      </x:c>
      <x:c r="I10" s="63" t="n">
        <x:v>14</x:v>
      </x:c>
      <x:c r="J10" s="63" t="n">
        <x:v>671</x:v>
      </x:c>
      <x:c r="K10" s="63" t="n">
        <x:v>4</x:v>
      </x:c>
      <x:c r="L10" s="63" t="n">
        <x:f>H10-I10-J10+K10</x:f>
        <x:v>-2</x:v>
      </x:c>
      <x:c r="M10" s="64" t="n">
        <x:v>39311</x:v>
      </x:c>
      <x:c r="N10" s="64" t="n">
        <x:v>46227</x:v>
      </x:c>
    </x:row>
    <x:row r="11" ht="22" customHeight="1">
      <x:c r="A11" s="60" t="n">
        <x:v>2</x:v>
      </x:c>
      <x:c r="B11" s="61" t="str">
        <x:v>763</x:v>
      </x:c>
      <x:c r="C11" s="62" t="str">
        <x:v>ITARO-P-00763</x:v>
      </x:c>
      <x:c r="D11" s="65" t="str">
        <x:v>安芸虎 山田錦50% 純米吟醸 720ml</x:v>
      </x:c>
      <x:c r="E11" s="62" t="str">
        <x:v>清酒</x:v>
      </x:c>
      <x:c r="F11" s="61" t="str">
        <x:v>583</x:v>
      </x:c>
      <x:c r="G11" s="65" t="str">
        <x:v>初期</x:v>
      </x:c>
      <x:c r="H11" s="63" t="n">
        <x:v>1317</x:v>
      </x:c>
      <x:c r="I11" s="63" t="n">
        <x:v>21</x:v>
      </x:c>
      <x:c r="J11" s="63" t="n">
        <x:v>1307</x:v>
      </x:c>
      <x:c r="K11" s="63" t="n">
        <x:v>10</x:v>
      </x:c>
      <x:c r="L11" s="63" t="n">
        <x:f>H11-I11-J11+K11</x:f>
        <x:v>-1</x:v>
      </x:c>
      <x:c r="M11" s="64" t="n">
        <x:v>39325</x:v>
      </x:c>
      <x:c r="N11" s="64" t="n">
        <x:v>46227</x:v>
      </x:c>
    </x:row>
    <x:row r="12" ht="22" customHeight="1">
      <x:c r="A12" s="60" t="n">
        <x:v>3</x:v>
      </x:c>
      <x:c r="B12" s="61" t="str">
        <x:v>2203</x:v>
      </x:c>
      <x:c r="C12" s="62" t="str">
        <x:v>ITARO-P-02203</x:v>
      </x:c>
      <x:c r="D12" s="65" t="str">
        <x:v>安芸虎 入河内 えい彌っ 720ml</x:v>
      </x:c>
      <x:c r="E12" s="62" t="str">
        <x:v>清酒</x:v>
      </x:c>
      <x:c r="F12" s="61" t="str">
        <x:v>586</x:v>
      </x:c>
      <x:c r="G12" s="65" t="str">
        <x:v>初期</x:v>
      </x:c>
      <x:c r="H12" s="63" t="n">
        <x:v>8428</x:v>
      </x:c>
      <x:c r="I12" s="63" t="n">
        <x:v>274</x:v>
      </x:c>
      <x:c r="J12" s="63" t="n">
        <x:v>8303</x:v>
      </x:c>
      <x:c r="K12" s="63" t="n">
        <x:v>119</x:v>
      </x:c>
      <x:c r="L12" s="63" t="n">
        <x:f>H12-I12-J12+K12</x:f>
        <x:v>-30</x:v>
      </x:c>
      <x:c r="M12" s="64" t="n">
        <x:v>39374</x:v>
      </x:c>
      <x:c r="N12" s="64" t="n">
        <x:v>46227</x:v>
      </x:c>
    </x:row>
    <x:row r="13" ht="22" customHeight="1">
      <x:c r="A13" s="60" t="n">
        <x:v>4</x:v>
      </x:c>
      <x:c r="B13" s="61" t="str">
        <x:v>2511</x:v>
      </x:c>
      <x:c r="C13" s="62" t="str">
        <x:v>ITARO-P-02511</x:v>
      </x:c>
      <x:c r="D13" s="65" t="str">
        <x:v>安芸虎 超辛口吟醸 1800ml</x:v>
      </x:c>
      <x:c r="E13" s="62" t="str">
        <x:v>清酒</x:v>
      </x:c>
      <x:c r="F13" s="61" t="str">
        <x:v>231</x:v>
      </x:c>
      <x:c r="G13" s="65" t="str">
        <x:v>R7←ｼﾌﾄ←初期</x:v>
      </x:c>
      <x:c r="H13" s="63" t="n">
        <x:v>2502</x:v>
      </x:c>
      <x:c r="I13" s="63" t="n">
        <x:v>77</x:v>
      </x:c>
      <x:c r="J13" s="63" t="n">
        <x:v>2475</x:v>
      </x:c>
      <x:c r="K13" s="63" t="n">
        <x:v>44</x:v>
      </x:c>
      <x:c r="L13" s="63" t="n">
        <x:f>H13-I13-J13+K13</x:f>
        <x:v>-6</x:v>
      </x:c>
      <x:c r="M13" s="64" t="n">
        <x:v>40035</x:v>
      </x:c>
      <x:c r="N13" s="64" t="n">
        <x:v>46219</x:v>
      </x:c>
    </x:row>
    <x:row r="14" ht="22" customHeight="1">
      <x:c r="A14" s="60" t="n">
        <x:v>5</x:v>
      </x:c>
      <x:c r="B14" s="61" t="str">
        <x:v>2513</x:v>
      </x:c>
      <x:c r="C14" s="62" t="str">
        <x:v>ITARO-P-02513</x:v>
      </x:c>
      <x:c r="D14" s="65" t="str">
        <x:v>安芸虎 超辛口吟醸 720ml</x:v>
      </x:c>
      <x:c r="E14" s="62" t="str">
        <x:v>清酒</x:v>
      </x:c>
      <x:c r="F14" s="61" t="str">
        <x:v>232</x:v>
      </x:c>
      <x:c r="G14" s="65" t="str">
        <x:v>R7←ｼﾌﾄ←初期</x:v>
      </x:c>
      <x:c r="H14" s="63" t="n">
        <x:v>957</x:v>
      </x:c>
      <x:c r="I14" s="63" t="n">
        <x:v>85</x:v>
      </x:c>
      <x:c r="J14" s="63" t="n">
        <x:v>1001</x:v>
      </x:c>
      <x:c r="K14" s="63" t="n">
        <x:v>100</x:v>
      </x:c>
      <x:c r="L14" s="63" t="n">
        <x:f>H14-I14-J14+K14</x:f>
        <x:v>-29</x:v>
      </x:c>
      <x:c r="M14" s="64" t="n">
        <x:v>40022</x:v>
      </x:c>
      <x:c r="N14" s="64" t="n">
        <x:v>46233</x:v>
      </x:c>
    </x:row>
    <x:row r="15" ht="22" customHeight="1">
      <x:c r="A15" s="60" t="n">
        <x:v>6</x:v>
      </x:c>
      <x:c r="B15" s="61" t="str">
        <x:v>2973</x:v>
      </x:c>
      <x:c r="C15" s="62" t="str">
        <x:v>ITARO-P-02973</x:v>
      </x:c>
      <x:c r="D15" s="65" t="str">
        <x:v>安芸虎深海の宇宙　純米大吟醸 720ml</x:v>
      </x:c>
      <x:c r="E15" s="62" t="str">
        <x:v>清酒</x:v>
      </x:c>
      <x:c r="F15" s="61" t="str">
        <x:v>1193</x:v>
      </x:c>
      <x:c r="G15" s="65" t="str">
        <x:v>ｼﾌﾄ.ｱｶ</x:v>
      </x:c>
      <x:c r="H15" s="63" t="n">
        <x:v>114</x:v>
      </x:c>
      <x:c r="I15" s="63" t="n">
        <x:v>9</x:v>
      </x:c>
      <x:c r="J15" s="63" t="n">
        <x:v>129</x:v>
      </x:c>
      <x:c r="K15" s="63" t="n">
        <x:v>0</x:v>
      </x:c>
      <x:c r="L15" s="63" t="n">
        <x:f>H15-I15-J15+K15</x:f>
        <x:v>-24</x:v>
      </x:c>
      <x:c r="M15" s="64" t="n">
        <x:v>46119</x:v>
      </x:c>
      <x:c r="N15" s="64" t="n">
        <x:v>46233</x:v>
      </x:c>
    </x:row>
    <x:row r="16" ht="22" customHeight="1">
      <x:c r="A16" s="60" t="n">
        <x:v>7</x:v>
      </x:c>
      <x:c r="B16" s="61" t="str">
        <x:v>3303</x:v>
      </x:c>
      <x:c r="C16" s="62" t="str">
        <x:v>ITARO-P-03303</x:v>
      </x:c>
      <x:c r="D16" s="65" t="str">
        <x:v>安芸虎 潦 純米大吟醸 720ml</x:v>
      </x:c>
      <x:c r="E16" s="62" t="str">
        <x:v>清酒</x:v>
      </x:c>
      <x:c r="F16" s="61" t="str">
        <x:v>1104</x:v>
      </x:c>
      <x:c r="G16" s="65" t="str">
        <x:v>ｼﾌﾄ後/純大</x:v>
      </x:c>
      <x:c r="H16" s="63" t="n">
        <x:v>1829</x:v>
      </x:c>
      <x:c r="I16" s="63" t="n">
        <x:v>2</x:v>
      </x:c>
      <x:c r="J16" s="63" t="n">
        <x:v>1830</x:v>
      </x:c>
      <x:c r="K16" s="63" t="n">
        <x:v>0</x:v>
      </x:c>
      <x:c r="L16" s="63" t="n">
        <x:f>H16-I16-J16+K16</x:f>
        <x:v>-3</x:v>
      </x:c>
      <x:c r="M16" s="64" t="n">
        <x:v>44512</x:v>
      </x:c>
      <x:c r="N16" s="64" t="n">
        <x:v>46233</x:v>
      </x:c>
    </x:row>
    <x:row r="17" ht="22" customHeight="1">
      <x:c r="A17" s="60" t="n">
        <x:v>8</x:v>
      </x:c>
      <x:c r="B17" s="61" t="str">
        <x:v>3323</x:v>
      </x:c>
      <x:c r="C17" s="62" t="str">
        <x:v>ITARO-P-03323</x:v>
      </x:c>
      <x:c r="D17" s="65" t="str">
        <x:v>安芸虎 潦 純米吟醸 720ml</x:v>
      </x:c>
      <x:c r="E17" s="62" t="str">
        <x:v>清酒</x:v>
      </x:c>
      <x:c r="F17" s="61" t="str">
        <x:v>1119</x:v>
      </x:c>
      <x:c r="G17" s="65" t="str">
        <x:v>純吟</x:v>
      </x:c>
      <x:c r="H17" s="63" t="n">
        <x:v>6264</x:v>
      </x:c>
      <x:c r="I17" s="63" t="n">
        <x:v>139</x:v>
      </x:c>
      <x:c r="J17" s="63" t="n">
        <x:v>6134</x:v>
      </x:c>
      <x:c r="K17" s="63" t="n">
        <x:v>1</x:v>
      </x:c>
      <x:c r="L17" s="63" t="n">
        <x:f>H17-I17-J17+K17</x:f>
        <x:v>-8</x:v>
      </x:c>
      <x:c r="M17" s="64" t="n">
        <x:v>44512</x:v>
      </x:c>
      <x:c r="N17" s="64" t="n">
        <x:v>46233</x:v>
      </x:c>
    </x:row>
    <x:row r="18" ht="22" customHeight="1">
      <x:c r="A18" s="60" t="n">
        <x:v>9</x:v>
      </x:c>
      <x:c r="B18" s="61" t="str">
        <x:v>5303</x:v>
      </x:c>
      <x:c r="C18" s="62" t="str">
        <x:v>ITARO-P-05303</x:v>
      </x:c>
      <x:c r="D18" s="65" t="str">
        <x:v>タイガース 純米吟醸 720ml</x:v>
      </x:c>
      <x:c r="E18" s="62" t="str">
        <x:v>清酒</x:v>
      </x:c>
      <x:c r="F18" s="61" t="str">
        <x:v>284</x:v>
      </x:c>
      <x:c r="G18" s="65" t="str">
        <x:v>純吟</x:v>
      </x:c>
      <x:c r="H18" s="63" t="n">
        <x:v>21507</x:v>
      </x:c>
      <x:c r="I18" s="63" t="n">
        <x:v>113</x:v>
      </x:c>
      <x:c r="J18" s="63" t="n">
        <x:v>21600</x:v>
      </x:c>
      <x:c r="K18" s="63" t="n">
        <x:v>175</x:v>
      </x:c>
      <x:c r="L18" s="63" t="n">
        <x:f>H18-I18-J18+K18</x:f>
        <x:v>-31</x:v>
      </x:c>
      <x:c r="M18" s="64" t="n">
        <x:v>38138</x:v>
      </x:c>
      <x:c r="N18" s="64" t="n">
        <x:v>46233</x:v>
      </x:c>
    </x:row>
    <x:row r="19" ht="22" customHeight="1">
      <x:c r="A19" s="60" t="n">
        <x:v>10</x:v>
      </x:c>
      <x:c r="B19" s="61" t="str">
        <x:v>7701</x:v>
      </x:c>
      <x:c r="C19" s="62" t="str">
        <x:v>ITARO-P-07701</x:v>
      </x:c>
      <x:c r="D19" s="65" t="str">
        <x:v>酒粕 1kg</x:v>
      </x:c>
      <x:c r="E19" s="62" t="str">
        <x:v>酒粕</x:v>
      </x:c>
      <x:c r="F19" s="61" t="str">
        <x:v>356</x:v>
      </x:c>
      <x:c r="G19" s="65" t="str">
        <x:v>初期詳細名</x:v>
      </x:c>
      <x:c r="H19" s="63" t="n">
        <x:v>0</x:v>
      </x:c>
      <x:c r="I19" s="63" t="n">
        <x:v>0</x:v>
      </x:c>
      <x:c r="J19" s="63" t="n">
        <x:v>41526</x:v>
      </x:c>
      <x:c r="K19" s="63" t="n">
        <x:v>0</x:v>
      </x:c>
      <x:c r="L19" s="63" t="n">
        <x:f>H19-I19-J19+K19</x:f>
        <x:v>-41526</x:v>
      </x:c>
      <x:c r="M19" s="64" t="n">
        <x:v>38152</x:v>
      </x:c>
      <x:c r="N19" s="64" t="n">
        <x:v>46177</x:v>
      </x:c>
    </x:row>
    <x:row r="20" ht="22" customHeight="1">
      <x:c r="A20" s="60" t="n">
        <x:v>11</x:v>
      </x:c>
      <x:c r="B20" s="61" t="str">
        <x:v>7704</x:v>
      </x:c>
      <x:c r="C20" s="62" t="str">
        <x:v>ITARO-P-07704</x:v>
      </x:c>
      <x:c r="D20" s="65" t="str">
        <x:v>酒粕 4kg</x:v>
      </x:c>
      <x:c r="E20" s="62" t="str">
        <x:v>酒粕</x:v>
      </x:c>
      <x:c r="F20" s="61" t="str">
        <x:v>357</x:v>
      </x:c>
      <x:c r="G20" s="65" t="str">
        <x:v>初期詳細名</x:v>
      </x:c>
      <x:c r="H20" s="63" t="n">
        <x:v>0</x:v>
      </x:c>
      <x:c r="I20" s="63" t="n">
        <x:v>0</x:v>
      </x:c>
      <x:c r="J20" s="63" t="n">
        <x:v>2507</x:v>
      </x:c>
      <x:c r="K20" s="63" t="n">
        <x:v>18</x:v>
      </x:c>
      <x:c r="L20" s="63" t="n">
        <x:f>H20-I20-J20+K20</x:f>
        <x:v>-2489</x:v>
      </x:c>
      <x:c r="M20" s="64" t="n">
        <x:v>38141</x:v>
      </x:c>
      <x:c r="N20" s="64" t="n">
        <x:v>44018</x:v>
      </x:c>
    </x:row>
    <x:row r="21" ht="22" customHeight="1">
      <x:c r="A21" s="60" t="n">
        <x:v>12</x:v>
      </x:c>
      <x:c r="B21" s="61" t="str">
        <x:v>7705</x:v>
      </x:c>
      <x:c r="C21" s="62" t="str">
        <x:v>ITARO-P-07705</x:v>
      </x:c>
      <x:c r="D21" s="65" t="str">
        <x:v>酒粕 10kg</x:v>
      </x:c>
      <x:c r="E21" s="62" t="str">
        <x:v>酒粕</x:v>
      </x:c>
      <x:c r="F21" s="61" t="str">
        <x:v>358</x:v>
      </x:c>
      <x:c r="G21" s="65" t="str">
        <x:v>初期詳細名</x:v>
      </x:c>
      <x:c r="H21" s="63" t="n">
        <x:v>0</x:v>
      </x:c>
      <x:c r="I21" s="63" t="n">
        <x:v>0</x:v>
      </x:c>
      <x:c r="J21" s="63" t="n">
        <x:v>48</x:v>
      </x:c>
      <x:c r="K21" s="63" t="n">
        <x:v>0</x:v>
      </x:c>
      <x:c r="L21" s="63" t="n">
        <x:f>H21-I21-J21+K21</x:f>
        <x:v>-48</x:v>
      </x:c>
      <x:c r="M21" s="64" t="n">
        <x:v>38377</x:v>
      </x:c>
      <x:c r="N21" s="64" t="n">
        <x:v>46087</x:v>
      </x:c>
    </x:row>
    <x:row r="22" ht="22" customHeight="1">
      <x:c r="A22" s="60" t="n">
        <x:v>13</x:v>
      </x:c>
      <x:c r="B22" s="61" t="str">
        <x:v>7707</x:v>
      </x:c>
      <x:c r="C22" s="62" t="str">
        <x:v>ITARO-P-07707</x:v>
      </x:c>
      <x:c r="D22" s="65" t="str">
        <x:v>酒粕 20kg</x:v>
      </x:c>
      <x:c r="E22" s="62" t="str">
        <x:v>酒粕</x:v>
      </x:c>
      <x:c r="F22" s="61" t="str">
        <x:v>359</x:v>
      </x:c>
      <x:c r="G22" s="65" t="str">
        <x:v>初期詳細名</x:v>
      </x:c>
      <x:c r="H22" s="63" t="n">
        <x:v>0</x:v>
      </x:c>
      <x:c r="I22" s="63" t="n">
        <x:v>0</x:v>
      </x:c>
      <x:c r="J22" s="63" t="n">
        <x:v>1235</x:v>
      </x:c>
      <x:c r="K22" s="63" t="n">
        <x:v>1</x:v>
      </x:c>
      <x:c r="L22" s="63" t="n">
        <x:f>H22-I22-J22+K22</x:f>
        <x:v>-1234</x:v>
      </x:c>
      <x:c r="M22" s="64" t="n">
        <x:v>38175</x:v>
      </x:c>
      <x:c r="N22" s="64" t="n">
        <x:v>46199</x:v>
      </x:c>
    </x:row>
    <x:row r="23" ht="22" customHeight="1">
      <x:c r="A23" s="60" t="n">
        <x:v>14</x:v>
      </x:c>
      <x:c r="B23" s="61" t="str">
        <x:v>7708</x:v>
      </x:c>
      <x:c r="C23" s="62" t="str">
        <x:v>ITARO-P-07708</x:v>
      </x:c>
      <x:c r="D23" s="65" t="str">
        <x:v>酒粕 500g</x:v>
      </x:c>
      <x:c r="E23" s="62" t="str">
        <x:v>酒粕</x:v>
      </x:c>
      <x:c r="F23" s="61" t="str">
        <x:v>489</x:v>
      </x:c>
      <x:c r="G23" s="65" t="str">
        <x:v>初期詳細名</x:v>
      </x:c>
      <x:c r="H23" s="63" t="n">
        <x:v>0</x:v>
      </x:c>
      <x:c r="I23" s="63" t="n">
        <x:v>0</x:v>
      </x:c>
      <x:c r="J23" s="63" t="n">
        <x:v>26</x:v>
      </x:c>
      <x:c r="K23" s="63" t="n">
        <x:v>0</x:v>
      </x:c>
      <x:c r="L23" s="63" t="n">
        <x:f>H23-I23-J23+K23</x:f>
        <x:v>-26</x:v>
      </x:c>
      <x:c r="M23" s="64" t="n">
        <x:v>40500</x:v>
      </x:c>
      <x:c r="N23" s="64" t="n">
        <x:v>40598</x:v>
      </x:c>
    </x:row>
    <x:row r="24" ht="22" customHeight="1">
      <x:c r="A24" s="60" t="n">
        <x:v>15</x:v>
      </x:c>
      <x:c r="B24" s="61" t="str">
        <x:v>7711</x:v>
      </x:c>
      <x:c r="C24" s="62" t="str">
        <x:v>ITARO-P-07711</x:v>
      </x:c>
      <x:c r="D24" s="65" t="str">
        <x:v>板粕 1kg</x:v>
      </x:c>
      <x:c r="E24" s="62" t="str">
        <x:v>酒粕</x:v>
      </x:c>
      <x:c r="F24" s="61" t="str">
        <x:v>360</x:v>
      </x:c>
      <x:c r="G24" s="65" t="str">
        <x:v>初期詳細名</x:v>
      </x:c>
      <x:c r="H24" s="63" t="n">
        <x:v>0</x:v>
      </x:c>
      <x:c r="I24" s="63" t="n">
        <x:v>0</x:v>
      </x:c>
      <x:c r="J24" s="63" t="n">
        <x:v>18</x:v>
      </x:c>
      <x:c r="K24" s="63" t="n">
        <x:v>0</x:v>
      </x:c>
      <x:c r="L24" s="63" t="n">
        <x:f>H24-I24-J24+K24</x:f>
        <x:v>-18</x:v>
      </x:c>
      <x:c r="M24" s="64" t="n">
        <x:v>39497</x:v>
      </x:c>
      <x:c r="N24" s="64" t="n">
        <x:v>41722</x:v>
      </x:c>
    </x:row>
    <x:row r="25" ht="22" customHeight="1">
      <x:c r="A25" s="60" t="n">
        <x:v>16</x:v>
      </x:c>
      <x:c r="B25" s="61" t="str">
        <x:v>7721</x:v>
      </x:c>
      <x:c r="C25" s="62" t="str">
        <x:v>ITARO-P-07721</x:v>
      </x:c>
      <x:c r="D25" s="65" t="str">
        <x:v>吟醸ねり粕 1kg</x:v>
      </x:c>
      <x:c r="E25" s="62" t="str">
        <x:v>酒粕</x:v>
      </x:c>
      <x:c r="F25" s="61" t="str">
        <x:v>362</x:v>
      </x:c>
      <x:c r="G25" s="65" t="str">
        <x:v>初期詳細名</x:v>
      </x:c>
      <x:c r="H25" s="63" t="n">
        <x:v>0</x:v>
      </x:c>
      <x:c r="I25" s="63" t="n">
        <x:v>0</x:v>
      </x:c>
      <x:c r="J25" s="63" t="n">
        <x:v>4350</x:v>
      </x:c>
      <x:c r="K25" s="63" t="n">
        <x:v>1</x:v>
      </x:c>
      <x:c r="L25" s="63" t="n">
        <x:f>H25-I25-J25+K25</x:f>
        <x:v>-4349</x:v>
      </x:c>
      <x:c r="M25" s="64" t="n">
        <x:v>38412</x:v>
      </x:c>
      <x:c r="N25" s="64" t="n">
        <x:v>42051</x:v>
      </x:c>
    </x:row>
    <x:row r="26" ht="22" customHeight="1">
      <x:c r="A26" s="60" t="n">
        <x:v>17</x:v>
      </x:c>
      <x:c r="B26" s="61" t="str">
        <x:v>7722</x:v>
      </x:c>
      <x:c r="C26" s="62" t="str">
        <x:v>ITARO-P-07722</x:v>
      </x:c>
      <x:c r="D26" s="65" t="str">
        <x:v>吟醸ねり粕 白色 安芸駅 1kg</x:v>
      </x:c>
      <x:c r="E26" s="62" t="str">
        <x:v>酒粕</x:v>
      </x:c>
      <x:c r="F26" s="61" t="str">
        <x:v>730</x:v>
      </x:c>
      <x:c r="G26" s="65" t="str">
        <x:v>初期詳細名</x:v>
      </x:c>
      <x:c r="H26" s="63" t="n">
        <x:v>0</x:v>
      </x:c>
      <x:c r="I26" s="63" t="n">
        <x:v>0</x:v>
      </x:c>
      <x:c r="J26" s="63" t="n">
        <x:v>181</x:v>
      </x:c>
      <x:c r="K26" s="63" t="n">
        <x:v>0</x:v>
      </x:c>
      <x:c r="L26" s="63" t="n">
        <x:f>H26-I26-J26+K26</x:f>
        <x:v>-181</x:v>
      </x:c>
      <x:c r="M26" s="64" t="n">
        <x:v>39980</x:v>
      </x:c>
      <x:c r="N26" s="64" t="n">
        <x:v>40058</x:v>
      </x:c>
    </x:row>
    <x:row r="27" ht="22" customHeight="1">
      <x:c r="A27" s="60" t="n">
        <x:v>18</x:v>
      </x:c>
      <x:c r="B27" s="61" t="str">
        <x:v>7724</x:v>
      </x:c>
      <x:c r="C27" s="62" t="str">
        <x:v>ITARO-P-07724</x:v>
      </x:c>
      <x:c r="D27" s="65" t="str">
        <x:v>吟醸ねり粕 4kg</x:v>
      </x:c>
      <x:c r="E27" s="62" t="str">
        <x:v>酒粕</x:v>
      </x:c>
      <x:c r="F27" s="61" t="str">
        <x:v>542</x:v>
      </x:c>
      <x:c r="G27" s="65" t="str">
        <x:v>初期詳細名</x:v>
      </x:c>
      <x:c r="H27" s="63" t="n">
        <x:v>0</x:v>
      </x:c>
      <x:c r="I27" s="63" t="n">
        <x:v>0</x:v>
      </x:c>
      <x:c r="J27" s="63" t="n">
        <x:v>23</x:v>
      </x:c>
      <x:c r="K27" s="63" t="n">
        <x:v>0</x:v>
      </x:c>
      <x:c r="L27" s="63" t="n">
        <x:f>H27-I27-J27+K27</x:f>
        <x:v>-23</x:v>
      </x:c>
      <x:c r="M27" s="64" t="n">
        <x:v>38890</x:v>
      </x:c>
      <x:c r="N27" s="64" t="n">
        <x:v>41610</x:v>
      </x:c>
    </x:row>
    <x:row r="28" ht="22" customHeight="1">
      <x:c r="A28" s="60" t="n">
        <x:v>19</x:v>
      </x:c>
      <x:c r="B28" s="61" t="str">
        <x:v>7725</x:v>
      </x:c>
      <x:c r="C28" s="62" t="str">
        <x:v>ITARO-P-07725</x:v>
      </x:c>
      <x:c r="D28" s="65" t="str">
        <x:v>吟醸ねり粕 10kg</x:v>
      </x:c>
      <x:c r="E28" s="62" t="str">
        <x:v>酒粕</x:v>
      </x:c>
      <x:c r="F28" s="61" t="str">
        <x:v>836</x:v>
      </x:c>
      <x:c r="G28" s="65" t="str">
        <x:v>初期詳細名</x:v>
      </x:c>
      <x:c r="H28" s="63" t="n">
        <x:v>0</x:v>
      </x:c>
      <x:c r="I28" s="63" t="n">
        <x:v>0</x:v>
      </x:c>
      <x:c r="J28" s="63" t="n">
        <x:v>2</x:v>
      </x:c>
      <x:c r="K28" s="63" t="n">
        <x:v>0</x:v>
      </x:c>
      <x:c r="L28" s="63" t="n">
        <x:f>H28-I28-J28+K28</x:f>
        <x:v>-2</x:v>
      </x:c>
      <x:c r="M28" s="64" t="n">
        <x:v>40528</x:v>
      </x:c>
      <x:c r="N28" s="64" t="n">
        <x:v>40973</x:v>
      </x:c>
    </x:row>
    <x:row r="29" ht="22" customHeight="1">
      <x:c r="A29" s="60" t="n">
        <x:v>20</x:v>
      </x:c>
      <x:c r="B29" s="61" t="str">
        <x:v>7728</x:v>
      </x:c>
      <x:c r="C29" s="62" t="str">
        <x:v>ITARO-P-07728</x:v>
      </x:c>
      <x:c r="D29" s="65" t="str">
        <x:v>吟醸ねり粕 500g</x:v>
      </x:c>
      <x:c r="E29" s="62" t="str">
        <x:v>酒粕</x:v>
      </x:c>
      <x:c r="F29" s="61" t="str">
        <x:v>674</x:v>
      </x:c>
      <x:c r="G29" s="65" t="str">
        <x:v>初期詳細名</x:v>
      </x:c>
      <x:c r="H29" s="63" t="n">
        <x:v>0</x:v>
      </x:c>
      <x:c r="I29" s="63" t="n">
        <x:v>0</x:v>
      </x:c>
      <x:c r="J29" s="63" t="n">
        <x:v>650</x:v>
      </x:c>
      <x:c r="K29" s="63" t="n">
        <x:v>0</x:v>
      </x:c>
      <x:c r="L29" s="63" t="n">
        <x:f>H29-I29-J29+K29</x:f>
        <x:v>-650</x:v>
      </x:c>
      <x:c r="M29" s="64" t="n">
        <x:v>39773</x:v>
      </x:c>
      <x:c r="N29" s="64" t="n">
        <x:v>40417</x:v>
      </x:c>
    </x:row>
    <x:row r="30" ht="22" customHeight="1">
      <x:c r="A30" s="60" t="n">
        <x:v>21</x:v>
      </x:c>
      <x:c r="B30" s="61" t="str">
        <x:v>7731</x:v>
      </x:c>
      <x:c r="C30" s="62" t="str">
        <x:v>ITARO-P-07731</x:v>
      </x:c>
      <x:c r="D30" s="65" t="str">
        <x:v>吟醸酒粕 1kg</x:v>
      </x:c>
      <x:c r="E30" s="62" t="str">
        <x:v>酒粕</x:v>
      </x:c>
      <x:c r="F30" s="61" t="str">
        <x:v>363</x:v>
      </x:c>
      <x:c r="G30" s="65" t="str">
        <x:v>初期詳細名</x:v>
      </x:c>
      <x:c r="H30" s="63" t="n">
        <x:v>0</x:v>
      </x:c>
      <x:c r="I30" s="63" t="n">
        <x:v>0</x:v>
      </x:c>
      <x:c r="J30" s="63" t="n">
        <x:v>30646</x:v>
      </x:c>
      <x:c r="K30" s="63" t="n">
        <x:v>5</x:v>
      </x:c>
      <x:c r="L30" s="63" t="n">
        <x:f>H30-I30-J30+K30</x:f>
        <x:v>-30641</x:v>
      </x:c>
      <x:c r="M30" s="64" t="n">
        <x:v>38357</x:v>
      </x:c>
      <x:c r="N30" s="64" t="n">
        <x:v>46231</x:v>
      </x:c>
    </x:row>
    <x:row r="31" ht="22" customHeight="1">
      <x:c r="A31" s="60" t="n">
        <x:v>22</x:v>
      </x:c>
      <x:c r="B31" s="61" t="str">
        <x:v>7734</x:v>
      </x:c>
      <x:c r="C31" s="62" t="str">
        <x:v>ITARO-P-07734</x:v>
      </x:c>
      <x:c r="D31" s="65" t="str">
        <x:v>吟醸酒粕 4kg</x:v>
      </x:c>
      <x:c r="E31" s="62" t="str">
        <x:v>酒粕</x:v>
      </x:c>
      <x:c r="F31" s="61" t="str">
        <x:v>906</x:v>
      </x:c>
      <x:c r="G31" s="65" t="str">
        <x:v>初期詳細名</x:v>
      </x:c>
      <x:c r="H31" s="63" t="n">
        <x:v>0</x:v>
      </x:c>
      <x:c r="I31" s="63" t="n">
        <x:v>0</x:v>
      </x:c>
      <x:c r="J31" s="63" t="n">
        <x:v>4</x:v>
      </x:c>
      <x:c r="K31" s="63" t="n">
        <x:v>0</x:v>
      </x:c>
      <x:c r="L31" s="63" t="n">
        <x:f>H31-I31-J31+K31</x:f>
        <x:v>-4</x:v>
      </x:c>
      <x:c r="M31" s="64" t="n">
        <x:v>41617</x:v>
      </x:c>
      <x:c r="N31" s="64" t="n">
        <x:v>44971</x:v>
      </x:c>
    </x:row>
    <x:row r="32" ht="22" customHeight="1">
      <x:c r="A32" s="60" t="n">
        <x:v>23</x:v>
      </x:c>
      <x:c r="B32" s="61" t="str">
        <x:v>7735</x:v>
      </x:c>
      <x:c r="C32" s="62" t="str">
        <x:v>ITARO-P-07735</x:v>
      </x:c>
      <x:c r="D32" s="65" t="str">
        <x:v>吟醸酒粕 10kg</x:v>
      </x:c>
      <x:c r="E32" s="62" t="str">
        <x:v>酒粕</x:v>
      </x:c>
      <x:c r="F32" s="61" t="str">
        <x:v>839</x:v>
      </x:c>
      <x:c r="G32" s="65" t="str">
        <x:v>初期詳細名</x:v>
      </x:c>
      <x:c r="H32" s="63" t="n">
        <x:v>0</x:v>
      </x:c>
      <x:c r="I32" s="63" t="n">
        <x:v>0</x:v>
      </x:c>
      <x:c r="J32" s="63" t="n">
        <x:v>34</x:v>
      </x:c>
      <x:c r="K32" s="63" t="n">
        <x:v>0</x:v>
      </x:c>
      <x:c r="L32" s="63" t="n">
        <x:f>H32-I32-J32+K32</x:f>
        <x:v>-34</x:v>
      </x:c>
      <x:c r="M32" s="64" t="n">
        <x:v>40558</x:v>
      </x:c>
      <x:c r="N32" s="64" t="n">
        <x:v>46199</x:v>
      </x:c>
    </x:row>
    <x:row r="33" ht="22" customHeight="1">
      <x:c r="A33" s="60" t="n">
        <x:v>24</x:v>
      </x:c>
      <x:c r="B33" s="61" t="str">
        <x:v>7737</x:v>
      </x:c>
      <x:c r="C33" s="62" t="str">
        <x:v>ITARO-P-07737</x:v>
      </x:c>
      <x:c r="D33" s="65" t="str">
        <x:v>吟醸酒粕 20kｇ</x:v>
      </x:c>
      <x:c r="E33" s="62" t="str">
        <x:v>酒粕</x:v>
      </x:c>
      <x:c r="F33" s="61" t="str">
        <x:v>1133</x:v>
      </x:c>
      <x:c r="G33" s="65" t="str">
        <x:v>初期詳細名</x:v>
      </x:c>
      <x:c r="H33" s="63" t="n">
        <x:v>0</x:v>
      </x:c>
      <x:c r="I33" s="63" t="n">
        <x:v>0</x:v>
      </x:c>
      <x:c r="J33" s="63" t="n">
        <x:v>12</x:v>
      </x:c>
      <x:c r="K33" s="63" t="n">
        <x:v>0</x:v>
      </x:c>
      <x:c r="L33" s="63" t="n">
        <x:f>H33-I33-J33+K33</x:f>
        <x:v>-12</x:v>
      </x:c>
      <x:c r="M33" s="64" t="n">
        <x:v>44809</x:v>
      </x:c>
      <x:c r="N33" s="64" t="n">
        <x:v>46199</x:v>
      </x:c>
    </x:row>
    <x:row r="34" ht="22" customHeight="1">
      <x:c r="A34" s="60" t="n">
        <x:v>25</x:v>
      </x:c>
      <x:c r="B34" s="61" t="str">
        <x:v>7738</x:v>
      </x:c>
      <x:c r="C34" s="62" t="str">
        <x:v>ITARO-P-07738</x:v>
      </x:c>
      <x:c r="D34" s="65" t="str">
        <x:v>吟醸酒粕 500g</x:v>
      </x:c>
      <x:c r="E34" s="62" t="str">
        <x:v>酒粕</x:v>
      </x:c>
      <x:c r="F34" s="61" t="str">
        <x:v>490</x:v>
      </x:c>
      <x:c r="G34" s="65" t="str">
        <x:v>初期詳細名</x:v>
      </x:c>
      <x:c r="H34" s="63" t="n">
        <x:v>0</x:v>
      </x:c>
      <x:c r="I34" s="63" t="n">
        <x:v>0</x:v>
      </x:c>
      <x:c r="J34" s="63" t="n">
        <x:v>5106</x:v>
      </x:c>
      <x:c r="K34" s="63" t="n">
        <x:v>0</x:v>
      </x:c>
      <x:c r="L34" s="63" t="n">
        <x:f>H34-I34-J34+K34</x:f>
        <x:v>-5106</x:v>
      </x:c>
      <x:c r="M34" s="64" t="n">
        <x:v>38709</x:v>
      </x:c>
      <x:c r="N34" s="64" t="n">
        <x:v>42326</x:v>
      </x:c>
    </x:row>
    <x:row r="35" ht="22" customHeight="1">
      <x:c r="A35" s="60" t="n">
        <x:v>26</x:v>
      </x:c>
      <x:c r="B35" s="61" t="str">
        <x:v>7739</x:v>
      </x:c>
      <x:c r="C35" s="62" t="str">
        <x:v>ITARO-P-07739</x:v>
      </x:c>
      <x:c r="D35" s="65" t="str">
        <x:v>吟醸酒粕 200g</x:v>
      </x:c>
      <x:c r="E35" s="62" t="str">
        <x:v>酒粕</x:v>
      </x:c>
      <x:c r="F35" s="61" t="str">
        <x:v>757</x:v>
      </x:c>
      <x:c r="G35" s="65" t="str">
        <x:v>初期詳細名</x:v>
      </x:c>
      <x:c r="H35" s="63" t="n">
        <x:v>0</x:v>
      </x:c>
      <x:c r="I35" s="63" t="n">
        <x:v>0</x:v>
      </x:c>
      <x:c r="J35" s="63" t="n">
        <x:v>1701</x:v>
      </x:c>
      <x:c r="K35" s="63" t="n">
        <x:v>0</x:v>
      </x:c>
      <x:c r="L35" s="63" t="n">
        <x:f>H35-I35-J35+K35</x:f>
        <x:v>-1701</x:v>
      </x:c>
      <x:c r="M35" s="64" t="n">
        <x:v>40149</x:v>
      </x:c>
      <x:c r="N35" s="64" t="n">
        <x:v>40890</x:v>
      </x:c>
    </x:row>
    <x:row r="36" ht="22" customHeight="1">
      <x:c r="A36" s="60" t="n">
        <x:v>27</x:v>
      </x:c>
      <x:c r="B36" s="61" t="str">
        <x:v>7741</x:v>
      </x:c>
      <x:c r="C36" s="62" t="str">
        <x:v>ITARO-P-07741</x:v>
      </x:c>
      <x:c r="D36" s="65" t="str">
        <x:v>大吟醸酒粕 1kg</x:v>
      </x:c>
      <x:c r="E36" s="62" t="str">
        <x:v>酒粕</x:v>
      </x:c>
      <x:c r="F36" s="61" t="str">
        <x:v>908</x:v>
      </x:c>
      <x:c r="G36" s="65" t="str">
        <x:v>初期詳細名</x:v>
      </x:c>
      <x:c r="H36" s="63" t="n">
        <x:v>0</x:v>
      </x:c>
      <x:c r="I36" s="63" t="n">
        <x:v>0</x:v>
      </x:c>
      <x:c r="J36" s="63" t="n">
        <x:v>152</x:v>
      </x:c>
      <x:c r="K36" s="63" t="n">
        <x:v>4</x:v>
      </x:c>
      <x:c r="L36" s="63" t="n">
        <x:f>H36-I36-J36+K36</x:f>
        <x:v>-148</x:v>
      </x:c>
      <x:c r="M36" s="64" t="n">
        <x:v>41037</x:v>
      </x:c>
      <x:c r="N36" s="64" t="n">
        <x:v>41634</x:v>
      </x:c>
    </x:row>
    <x:row r="37" ht="22" customHeight="1">
      <x:c r="A37" s="60" t="n">
        <x:v>28</x:v>
      </x:c>
      <x:c r="B37" s="61" t="str">
        <x:v>7770</x:v>
      </x:c>
      <x:c r="C37" s="62" t="str">
        <x:v>ITARO-P-07770</x:v>
      </x:c>
      <x:c r="D37" s="65" t="str">
        <x:v>沸かし料 1件</x:v>
      </x:c>
      <x:c r="E37" s="62" t="str">
        <x:v>物品</x:v>
      </x:c>
      <x:c r="F37" s="61" t="str">
        <x:v>364</x:v>
      </x:c>
      <x:c r="G37" s="65" t="str">
        <x:v>初期詳細名</x:v>
      </x:c>
      <x:c r="H37" s="63" t="n">
        <x:v>0</x:v>
      </x:c>
      <x:c r="I37" s="63" t="n">
        <x:v>0</x:v>
      </x:c>
      <x:c r="J37" s="63" t="n">
        <x:v>5274</x:v>
      </x:c>
      <x:c r="K37" s="63" t="n">
        <x:v>0</x:v>
      </x:c>
      <x:c r="L37" s="63" t="n">
        <x:f>H37-I37-J37+K37</x:f>
        <x:v>-5274</x:v>
      </x:c>
      <x:c r="M37" s="64" t="n">
        <x:v>38163</x:v>
      </x:c>
      <x:c r="N37" s="64" t="n">
        <x:v>43857</x:v>
      </x:c>
    </x:row>
    <x:row r="38" ht="22" customHeight="1">
      <x:c r="A38" s="60" t="n">
        <x:v>29</x:v>
      </x:c>
      <x:c r="B38" s="61" t="str">
        <x:v>8001</x:v>
      </x:c>
      <x:c r="C38" s="62" t="str">
        <x:v>ITARO-P-08001</x:v>
      </x:c>
      <x:c r="D38" s="65" t="str">
        <x:v>カートン 1800ml用白色 1本入</x:v>
      </x:c>
      <x:c r="E38" s="62" t="str">
        <x:v>物品</x:v>
      </x:c>
      <x:c r="F38" s="61" t="str">
        <x:v>365</x:v>
      </x:c>
      <x:c r="G38" s="65" t="str">
        <x:v>初期詳細名</x:v>
      </x:c>
      <x:c r="H38" s="63" t="n">
        <x:v>0</x:v>
      </x:c>
      <x:c r="I38" s="63" t="n">
        <x:v>0</x:v>
      </x:c>
      <x:c r="J38" s="63" t="n">
        <x:v>1599</x:v>
      </x:c>
      <x:c r="K38" s="63" t="n">
        <x:v>16</x:v>
      </x:c>
      <x:c r="L38" s="63" t="n">
        <x:f>H38-I38-J38+K38</x:f>
        <x:v>-1583</x:v>
      </x:c>
      <x:c r="M38" s="64" t="n">
        <x:v>38139</x:v>
      </x:c>
      <x:c r="N38" s="64" t="n">
        <x:v>45973</x:v>
      </x:c>
    </x:row>
    <x:row r="39" ht="22" customHeight="1">
      <x:c r="A39" s="60" t="n">
        <x:v>30</x:v>
      </x:c>
      <x:c r="B39" s="61" t="str">
        <x:v>8002</x:v>
      </x:c>
      <x:c r="C39" s="62" t="str">
        <x:v>ITARO-P-08002</x:v>
      </x:c>
      <x:c r="D39" s="65" t="str">
        <x:v>カートン 1800ml用白色 2本入</x:v>
      </x:c>
      <x:c r="E39" s="62" t="str">
        <x:v>物品</x:v>
      </x:c>
      <x:c r="F39" s="61" t="str">
        <x:v>366</x:v>
      </x:c>
      <x:c r="G39" s="65" t="str">
        <x:v>初期詳細名</x:v>
      </x:c>
      <x:c r="H39" s="63" t="n">
        <x:v>0</x:v>
      </x:c>
      <x:c r="I39" s="63" t="n">
        <x:v>0</x:v>
      </x:c>
      <x:c r="J39" s="63" t="n">
        <x:v>201</x:v>
      </x:c>
      <x:c r="K39" s="63" t="n">
        <x:v>0</x:v>
      </x:c>
      <x:c r="L39" s="63" t="n">
        <x:f>H39-I39-J39+K39</x:f>
        <x:v>-201</x:v>
      </x:c>
      <x:c r="M39" s="64" t="n">
        <x:v>39042</x:v>
      </x:c>
      <x:c r="N39" s="64" t="n">
        <x:v>45582</x:v>
      </x:c>
    </x:row>
    <x:row r="40" ht="22" customHeight="1">
      <x:c r="A40" s="60" t="n">
        <x:v>31</x:v>
      </x:c>
      <x:c r="B40" s="61" t="str">
        <x:v>8003</x:v>
      </x:c>
      <x:c r="C40" s="62" t="str">
        <x:v>ITARO-P-08003</x:v>
      </x:c>
      <x:c r="D40" s="65" t="str">
        <x:v>カートン 720ml黒色 1本入</x:v>
      </x:c>
      <x:c r="E40" s="62" t="str">
        <x:v>物品</x:v>
      </x:c>
      <x:c r="F40" s="61" t="str">
        <x:v>367</x:v>
      </x:c>
      <x:c r="G40" s="65" t="str">
        <x:v>初期詳細名</x:v>
      </x:c>
      <x:c r="H40" s="63" t="n">
        <x:v>0</x:v>
      </x:c>
      <x:c r="I40" s="63" t="n">
        <x:v>0</x:v>
      </x:c>
      <x:c r="J40" s="63" t="n">
        <x:v>5153</x:v>
      </x:c>
      <x:c r="K40" s="63" t="n">
        <x:v>12</x:v>
      </x:c>
      <x:c r="L40" s="63" t="n">
        <x:f>H40-I40-J40+K40</x:f>
        <x:v>-5141</x:v>
      </x:c>
      <x:c r="M40" s="64" t="n">
        <x:v>38337</x:v>
      </x:c>
      <x:c r="N40" s="64" t="n">
        <x:v>46233</x:v>
      </x:c>
    </x:row>
    <x:row r="41" ht="22" customHeight="1">
      <x:c r="A41" s="60" t="n">
        <x:v>32</x:v>
      </x:c>
      <x:c r="B41" s="61" t="str">
        <x:v>8004</x:v>
      </x:c>
      <x:c r="C41" s="62" t="str">
        <x:v>ITARO-P-08004</x:v>
      </x:c>
      <x:c r="D41" s="65" t="str">
        <x:v>カートン 1800ml＜マロン＞ 1本入</x:v>
      </x:c>
      <x:c r="E41" s="62" t="str">
        <x:v>物品</x:v>
      </x:c>
      <x:c r="F41" s="61" t="str">
        <x:v>444</x:v>
      </x:c>
      <x:c r="G41" s="65" t="str">
        <x:v>初期詳細名</x:v>
      </x:c>
      <x:c r="H41" s="63" t="n">
        <x:v>0</x:v>
      </x:c>
      <x:c r="I41" s="63" t="n">
        <x:v>0</x:v>
      </x:c>
      <x:c r="J41" s="63" t="n">
        <x:v>253</x:v>
      </x:c>
      <x:c r="K41" s="63" t="n">
        <x:v>0</x:v>
      </x:c>
      <x:c r="L41" s="63" t="n">
        <x:f>H41-I41-J41+K41</x:f>
        <x:v>-253</x:v>
      </x:c>
      <x:c r="M41" s="64" t="n">
        <x:v>38339</x:v>
      </x:c>
      <x:c r="N41" s="64" t="n">
        <x:v>44657</x:v>
      </x:c>
    </x:row>
    <x:row r="42" ht="22" customHeight="1">
      <x:c r="A42" s="60" t="n">
        <x:v>33</x:v>
      </x:c>
      <x:c r="B42" s="61" t="str">
        <x:v>8005</x:v>
      </x:c>
      <x:c r="C42" s="62" t="str">
        <x:v>ITARO-P-08005</x:v>
      </x:c>
      <x:c r="D42" s="65" t="str">
        <x:v>カートン 300ml ×2、×3手提げ箱 3本入</x:v>
      </x:c>
      <x:c r="E42" s="62" t="str">
        <x:v>物品</x:v>
      </x:c>
      <x:c r="F42" s="61" t="str">
        <x:v>368</x:v>
      </x:c>
      <x:c r="G42" s="65" t="str">
        <x:v>初期詳細名</x:v>
      </x:c>
      <x:c r="H42" s="63" t="n">
        <x:v>0</x:v>
      </x:c>
      <x:c r="I42" s="63" t="n">
        <x:v>0</x:v>
      </x:c>
      <x:c r="J42" s="63" t="n">
        <x:v>810</x:v>
      </x:c>
      <x:c r="K42" s="63" t="n">
        <x:v>0</x:v>
      </x:c>
      <x:c r="L42" s="63" t="n">
        <x:f>H42-I42-J42+K42</x:f>
        <x:v>-810</x:v>
      </x:c>
      <x:c r="M42" s="64" t="n">
        <x:v>38201</x:v>
      </x:c>
      <x:c r="N42" s="64" t="n">
        <x:v>45264</x:v>
      </x:c>
    </x:row>
    <x:row r="43" ht="22" customHeight="1">
      <x:c r="A43" s="60" t="n">
        <x:v>34</x:v>
      </x:c>
      <x:c r="B43" s="61" t="str">
        <x:v>8006</x:v>
      </x:c>
      <x:c r="C43" s="62" t="str">
        <x:v>ITARO-P-08006</x:v>
      </x:c>
      <x:c r="D43" s="65" t="str">
        <x:v>カートン 300ml 化粧箱5本入 5本入</x:v>
      </x:c>
      <x:c r="E43" s="62" t="str">
        <x:v>物品</x:v>
      </x:c>
      <x:c r="F43" s="61" t="str">
        <x:v>369</x:v>
      </x:c>
      <x:c r="G43" s="65" t="str">
        <x:v>初期詳細名</x:v>
      </x:c>
      <x:c r="H43" s="63" t="n">
        <x:v>0</x:v>
      </x:c>
      <x:c r="I43" s="63" t="n">
        <x:v>0</x:v>
      </x:c>
      <x:c r="J43" s="63" t="n">
        <x:v>26</x:v>
      </x:c>
      <x:c r="K43" s="63" t="n">
        <x:v>0</x:v>
      </x:c>
      <x:c r="L43" s="63" t="n">
        <x:f>H43-I43-J43+K43</x:f>
        <x:v>-26</x:v>
      </x:c>
      <x:c r="M43" s="64" t="n">
        <x:v>38348</x:v>
      </x:c>
      <x:c r="N43" s="64" t="n">
        <x:v>43491</x:v>
      </x:c>
    </x:row>
    <x:row r="44" ht="22" customHeight="1">
      <x:c r="A44" s="60" t="n">
        <x:v>35</x:v>
      </x:c>
      <x:c r="B44" s="61" t="str">
        <x:v>8007</x:v>
      </x:c>
      <x:c r="C44" s="62" t="str">
        <x:v>ITARO-P-08007</x:v>
      </x:c>
      <x:c r="D44" s="65" t="str">
        <x:v>カートン 720mlセット箱 2本入</x:v>
      </x:c>
      <x:c r="E44" s="62" t="str">
        <x:v>物品</x:v>
      </x:c>
      <x:c r="F44" s="61" t="str">
        <x:v>441</x:v>
      </x:c>
      <x:c r="G44" s="65" t="str">
        <x:v>初期詳細名</x:v>
      </x:c>
      <x:c r="H44" s="63" t="n">
        <x:v>0</x:v>
      </x:c>
      <x:c r="I44" s="63" t="n">
        <x:v>0</x:v>
      </x:c>
      <x:c r="J44" s="63" t="n">
        <x:v>54</x:v>
      </x:c>
      <x:c r="K44" s="63" t="n">
        <x:v>0</x:v>
      </x:c>
      <x:c r="L44" s="63" t="n">
        <x:f>H44-I44-J44+K44</x:f>
        <x:v>-54</x:v>
      </x:c>
      <x:c r="M44" s="64" t="n">
        <x:v>38322</x:v>
      </x:c>
      <x:c r="N44" s="64" t="n">
        <x:v>45521</x:v>
      </x:c>
    </x:row>
    <x:row r="45" ht="22" customHeight="1">
      <x:c r="A45" s="60" t="n">
        <x:v>36</x:v>
      </x:c>
      <x:c r="B45" s="61" t="str">
        <x:v>8008</x:v>
      </x:c>
      <x:c r="C45" s="62" t="str">
        <x:v>ITARO-P-08008</x:v>
      </x:c>
      <x:c r="D45" s="65" t="str">
        <x:v>カートン 1800ml用金色セット箱 1本入</x:v>
      </x:c>
      <x:c r="E45" s="62" t="str">
        <x:v>物品</x:v>
      </x:c>
      <x:c r="F45" s="61" t="str">
        <x:v>764</x:v>
      </x:c>
      <x:c r="G45" s="65" t="str">
        <x:v>初期詳細名</x:v>
      </x:c>
      <x:c r="H45" s="63" t="n">
        <x:v>0</x:v>
      </x:c>
      <x:c r="I45" s="63" t="n">
        <x:v>0</x:v>
      </x:c>
      <x:c r="J45" s="63" t="n">
        <x:v>52</x:v>
      </x:c>
      <x:c r="K45" s="63" t="n">
        <x:v>0</x:v>
      </x:c>
      <x:c r="L45" s="63" t="n">
        <x:f>H45-I45-J45+K45</x:f>
        <x:v>-52</x:v>
      </x:c>
      <x:c r="M45" s="64" t="n">
        <x:v>40164</x:v>
      </x:c>
      <x:c r="N45" s="64" t="n">
        <x:v>44371</x:v>
      </x:c>
    </x:row>
    <x:row r="46" ht="22" customHeight="1">
      <x:c r="A46" s="60" t="n">
        <x:v>37</x:v>
      </x:c>
      <x:c r="B46" s="61" t="str">
        <x:v>8009</x:v>
      </x:c>
      <x:c r="C46" s="62" t="str">
        <x:v>ITARO-P-08009</x:v>
      </x:c>
      <x:c r="D46" s="65" t="str">
        <x:v>カートン 300ml用 化粧箱 1本入</x:v>
      </x:c>
      <x:c r="E46" s="62" t="str">
        <x:v>物品</x:v>
      </x:c>
      <x:c r="F46" s="61" t="str">
        <x:v>978</x:v>
      </x:c>
      <x:c r="G46" s="65" t="str">
        <x:v>初期詳細名</x:v>
      </x:c>
      <x:c r="H46" s="63" t="n">
        <x:v>0</x:v>
      </x:c>
      <x:c r="I46" s="63" t="n">
        <x:v>0</x:v>
      </x:c>
      <x:c r="J46" s="63" t="n">
        <x:v>404</x:v>
      </x:c>
      <x:c r="K46" s="63" t="n">
        <x:v>0</x:v>
      </x:c>
      <x:c r="L46" s="63" t="n">
        <x:f>H46-I46-J46+K46</x:f>
        <x:v>-404</x:v>
      </x:c>
      <x:c r="M46" s="64" t="n">
        <x:v>41919</x:v>
      </x:c>
      <x:c r="N46" s="64" t="n">
        <x:v>44986</x:v>
      </x:c>
    </x:row>
    <x:row r="47" ht="22" customHeight="1">
      <x:c r="A47" s="60" t="n">
        <x:v>38</x:v>
      </x:c>
      <x:c r="B47" s="61" t="str">
        <x:v>8013</x:v>
      </x:c>
      <x:c r="C47" s="62" t="str">
        <x:v>ITARO-P-08013</x:v>
      </x:c>
      <x:c r="D47" s="65" t="str">
        <x:v>カートン 安芸虎 用箱 1本入</x:v>
      </x:c>
      <x:c r="E47" s="62" t="str">
        <x:v>物品</x:v>
      </x:c>
      <x:c r="F47" s="61" t="str">
        <x:v>370</x:v>
      </x:c>
      <x:c r="G47" s="65" t="str">
        <x:v>初期詳細名</x:v>
      </x:c>
      <x:c r="H47" s="63" t="n">
        <x:v>0</x:v>
      </x:c>
      <x:c r="I47" s="63" t="n">
        <x:v>0</x:v>
      </x:c>
      <x:c r="J47" s="63" t="n">
        <x:v>2292</x:v>
      </x:c>
      <x:c r="K47" s="63" t="n">
        <x:v>9</x:v>
      </x:c>
      <x:c r="L47" s="63" t="n">
        <x:f>H47-I47-J47+K47</x:f>
        <x:v>-2283</x:v>
      </x:c>
      <x:c r="M47" s="64" t="n">
        <x:v>39788</x:v>
      </x:c>
      <x:c r="N47" s="64" t="n">
        <x:v>46233</x:v>
      </x:c>
    </x:row>
    <x:row r="48" ht="22" customHeight="1">
      <x:c r="A48" s="60" t="n">
        <x:v>39</x:v>
      </x:c>
      <x:c r="B48" s="61" t="str">
        <x:v>8015</x:v>
      </x:c>
      <x:c r="C48" s="62" t="str">
        <x:v>ITARO-P-08015</x:v>
      </x:c>
      <x:c r="D48" s="65" t="str">
        <x:v>720mlクリアカートン 1本入</x:v>
      </x:c>
      <x:c r="E48" s="62" t="str">
        <x:v>物品</x:v>
      </x:c>
      <x:c r="F48" s="61" t="str">
        <x:v>677</x:v>
      </x:c>
      <x:c r="G48" s="65" t="str">
        <x:v>初期詳細名</x:v>
      </x:c>
      <x:c r="H48" s="63" t="n">
        <x:v>0</x:v>
      </x:c>
      <x:c r="I48" s="63" t="n">
        <x:v>0</x:v>
      </x:c>
      <x:c r="J48" s="63" t="n">
        <x:v>1108</x:v>
      </x:c>
      <x:c r="K48" s="63" t="n">
        <x:v>0</x:v>
      </x:c>
      <x:c r="L48" s="63" t="n">
        <x:f>H48-I48-J48+K48</x:f>
        <x:v>-1108</x:v>
      </x:c>
      <x:c r="M48" s="64" t="n">
        <x:v>39769</x:v>
      </x:c>
      <x:c r="N48" s="64" t="n">
        <x:v>46217</x:v>
      </x:c>
    </x:row>
    <x:row r="49" ht="22" customHeight="1">
      <x:c r="A49" s="60" t="n">
        <x:v>40</x:v>
      </x:c>
      <x:c r="B49" s="61" t="str">
        <x:v>8017</x:v>
      </x:c>
      <x:c r="C49" s="62" t="str">
        <x:v>ITARO-P-08017</x:v>
      </x:c>
      <x:c r="D49" s="65" t="str">
        <x:v>カートン 720ml金セット箱 1本入</x:v>
      </x:c>
      <x:c r="E49" s="62" t="str">
        <x:v>物品</x:v>
      </x:c>
      <x:c r="F49" s="61" t="str">
        <x:v>813</x:v>
      </x:c>
      <x:c r="G49" s="65" t="str">
        <x:v>初期詳細名</x:v>
      </x:c>
      <x:c r="H49" s="63" t="n">
        <x:v>0</x:v>
      </x:c>
      <x:c r="I49" s="63" t="n">
        <x:v>0</x:v>
      </x:c>
      <x:c r="J49" s="63" t="n">
        <x:v>72</x:v>
      </x:c>
      <x:c r="K49" s="63" t="n">
        <x:v>0</x:v>
      </x:c>
      <x:c r="L49" s="63" t="n">
        <x:f>H49-I49-J49+K49</x:f>
        <x:v>-72</x:v>
      </x:c>
      <x:c r="M49" s="64" t="n">
        <x:v>40343</x:v>
      </x:c>
      <x:c r="N49" s="64" t="n">
        <x:v>43858</x:v>
      </x:c>
    </x:row>
    <x:row r="50" ht="22" customHeight="1">
      <x:c r="A50" s="60" t="n">
        <x:v>41</x:v>
      </x:c>
      <x:c r="B50" s="61" t="str">
        <x:v>8023</x:v>
      </x:c>
      <x:c r="C50" s="62" t="str">
        <x:v>ITARO-P-08023</x:v>
      </x:c>
      <x:c r="D50" s="65" t="str">
        <x:v>カートン 720mlセット箱 2本入</x:v>
      </x:c>
      <x:c r="E50" s="62" t="str">
        <x:v>物品</x:v>
      </x:c>
      <x:c r="F50" s="61" t="str">
        <x:v>371</x:v>
      </x:c>
      <x:c r="G50" s="65" t="str">
        <x:v>初期詳細名</x:v>
      </x:c>
      <x:c r="H50" s="63" t="n">
        <x:v>0</x:v>
      </x:c>
      <x:c r="I50" s="63" t="n">
        <x:v>0</x:v>
      </x:c>
      <x:c r="J50" s="63" t="n">
        <x:v>257</x:v>
      </x:c>
      <x:c r="K50" s="63" t="n">
        <x:v>0</x:v>
      </x:c>
      <x:c r="L50" s="63" t="n">
        <x:f>H50-I50-J50+K50</x:f>
        <x:v>-257</x:v>
      </x:c>
      <x:c r="M50" s="64" t="n">
        <x:v>38203</x:v>
      </x:c>
      <x:c r="N50" s="64" t="n">
        <x:v>46233</x:v>
      </x:c>
    </x:row>
    <x:row r="51" ht="22" customHeight="1">
      <x:c r="A51" s="60" t="n">
        <x:v>42</x:v>
      </x:c>
      <x:c r="B51" s="61" t="str">
        <x:v>8051</x:v>
      </x:c>
      <x:c r="C51" s="62" t="str">
        <x:v>ITARO-P-08051</x:v>
      </x:c>
      <x:c r="D51" s="65" t="str">
        <x:v>カートン 安芸虎セット用 大吟醸セット箱 2本入</x:v>
      </x:c>
      <x:c r="E51" s="62" t="str">
        <x:v>物品</x:v>
      </x:c>
      <x:c r="F51" s="61" t="str">
        <x:v>442</x:v>
      </x:c>
      <x:c r="G51" s="65" t="str">
        <x:v>初期詳細名</x:v>
      </x:c>
      <x:c r="H51" s="63" t="n">
        <x:v>0</x:v>
      </x:c>
      <x:c r="I51" s="63" t="n">
        <x:v>0</x:v>
      </x:c>
      <x:c r="J51" s="63" t="n">
        <x:v>6</x:v>
      </x:c>
      <x:c r="K51" s="63" t="n">
        <x:v>0</x:v>
      </x:c>
      <x:c r="L51" s="63" t="n">
        <x:f>H51-I51-J51+K51</x:f>
        <x:v>-6</x:v>
      </x:c>
      <x:c r="M51" s="64" t="n">
        <x:v>38333</x:v>
      </x:c>
      <x:c r="N51" s="64" t="n">
        <x:v>38334</x:v>
      </x:c>
    </x:row>
    <x:row r="52" ht="22" customHeight="1">
      <x:c r="A52" s="60" t="n">
        <x:v>43</x:v>
      </x:c>
      <x:c r="B52" s="61" t="str">
        <x:v>8052</x:v>
      </x:c>
      <x:c r="C52" s="62" t="str">
        <x:v>ITARO-P-08052</x:v>
      </x:c>
      <x:c r="D52" s="65" t="str">
        <x:v>カートン 安芸虎セット用 純米吟醸セット箱 2本入</x:v>
      </x:c>
      <x:c r="E52" s="62" t="str">
        <x:v>物品</x:v>
      </x:c>
      <x:c r="F52" s="61" t="str">
        <x:v>443</x:v>
      </x:c>
      <x:c r="G52" s="65" t="str">
        <x:v>初期詳細名</x:v>
      </x:c>
      <x:c r="H52" s="63" t="n">
        <x:v>0</x:v>
      </x:c>
      <x:c r="I52" s="63" t="n">
        <x:v>0</x:v>
      </x:c>
      <x:c r="J52" s="63" t="n">
        <x:v>28</x:v>
      </x:c>
      <x:c r="K52" s="63" t="n">
        <x:v>0</x:v>
      </x:c>
      <x:c r="L52" s="63" t="n">
        <x:f>H52-I52-J52+K52</x:f>
        <x:v>-28</x:v>
      </x:c>
      <x:c r="M52" s="64" t="n">
        <x:v>38333</x:v>
      </x:c>
      <x:c r="N52" s="64" t="n">
        <x:v>38917</x:v>
      </x:c>
    </x:row>
    <x:row r="53" ht="22" customHeight="1">
      <x:c r="A53" s="60" t="n">
        <x:v>44</x:v>
      </x:c>
      <x:c r="B53" s="61" t="str">
        <x:v>8054</x:v>
      </x:c>
      <x:c r="C53" s="62" t="str">
        <x:v>ITARO-P-08054</x:v>
      </x:c>
      <x:c r="D53" s="65" t="str">
        <x:v>カートン 安芸虎セット用 S-5大吟醸 2本入</x:v>
      </x:c>
      <x:c r="E53" s="62" t="str">
        <x:v>物品</x:v>
      </x:c>
      <x:c r="F53" s="61" t="str">
        <x:v>471</x:v>
      </x:c>
      <x:c r="G53" s="65" t="str">
        <x:v>初期詳細名</x:v>
      </x:c>
      <x:c r="H53" s="63" t="n">
        <x:v>0</x:v>
      </x:c>
      <x:c r="I53" s="63" t="n">
        <x:v>0</x:v>
      </x:c>
      <x:c r="J53" s="63" t="n">
        <x:v>17</x:v>
      </x:c>
      <x:c r="K53" s="63" t="n">
        <x:v>0</x:v>
      </x:c>
      <x:c r="L53" s="63" t="n">
        <x:f>H53-I53-J53+K53</x:f>
        <x:v>-17</x:v>
      </x:c>
      <x:c r="M53" s="64" t="n">
        <x:v>38660</x:v>
      </x:c>
      <x:c r="N53" s="64" t="n">
        <x:v>39067</x:v>
      </x:c>
    </x:row>
    <x:row r="54" ht="22" customHeight="1">
      <x:c r="A54" s="60" t="n">
        <x:v>45</x:v>
      </x:c>
      <x:c r="B54" s="61" t="str">
        <x:v>8055</x:v>
      </x:c>
      <x:c r="C54" s="62" t="str">
        <x:v>ITARO-P-08055</x:v>
      </x:c>
      <x:c r="D54" s="65" t="str">
        <x:v>カートン 安芸虎セット用 S-3 2本入</x:v>
      </x:c>
      <x:c r="E54" s="62" t="str">
        <x:v>物品</x:v>
      </x:c>
      <x:c r="F54" s="61" t="str">
        <x:v>472</x:v>
      </x:c>
      <x:c r="G54" s="65" t="str">
        <x:v>初期詳細名</x:v>
      </x:c>
      <x:c r="H54" s="63" t="n">
        <x:v>0</x:v>
      </x:c>
      <x:c r="I54" s="63" t="n">
        <x:v>0</x:v>
      </x:c>
      <x:c r="J54" s="63" t="n">
        <x:v>48</x:v>
      </x:c>
      <x:c r="K54" s="63" t="n">
        <x:v>0</x:v>
      </x:c>
      <x:c r="L54" s="63" t="n">
        <x:f>H54-I54-J54+K54</x:f>
        <x:v>-48</x:v>
      </x:c>
      <x:c r="M54" s="64" t="n">
        <x:v>38660</x:v>
      </x:c>
      <x:c r="N54" s="64" t="n">
        <x:v>39884</x:v>
      </x:c>
    </x:row>
    <x:row r="55" ht="22" customHeight="1">
      <x:c r="A55" s="60" t="n">
        <x:v>46</x:v>
      </x:c>
      <x:c r="B55" s="61" t="str">
        <x:v>8060</x:v>
      </x:c>
      <x:c r="C55" s="62" t="str">
        <x:v>ITARO-P-08060</x:v>
      </x:c>
      <x:c r="D55" s="65" t="str">
        <x:v>大吟醸 セット</x:v>
      </x:c>
      <x:c r="E55" s="62" t="str">
        <x:v>物品</x:v>
      </x:c>
      <x:c r="F55" s="61" t="str">
        <x:v>557</x:v>
      </x:c>
      <x:c r="G55" s="65" t="str">
        <x:v>初期詳細名</x:v>
      </x:c>
      <x:c r="H55" s="63" t="n">
        <x:v>0</x:v>
      </x:c>
      <x:c r="I55" s="63" t="n">
        <x:v>0</x:v>
      </x:c>
      <x:c r="J55" s="63" t="n">
        <x:v>14</x:v>
      </x:c>
      <x:c r="K55" s="63" t="n">
        <x:v>0</x:v>
      </x:c>
      <x:c r="L55" s="63" t="n">
        <x:f>H55-I55-J55+K55</x:f>
        <x:v>-14</x:v>
      </x:c>
      <x:c r="M55" s="64" t="n">
        <x:v>39037</x:v>
      </x:c>
      <x:c r="N55" s="64" t="n">
        <x:v>39422</x:v>
      </x:c>
    </x:row>
    <x:row r="56" ht="22" customHeight="1">
      <x:c r="A56" s="60" t="n">
        <x:v>47</x:v>
      </x:c>
      <x:c r="B56" s="61" t="str">
        <x:v>8061</x:v>
      </x:c>
      <x:c r="C56" s="62" t="str">
        <x:v>ITARO-P-08061</x:v>
      </x:c>
      <x:c r="D56" s="65" t="str">
        <x:v>土佐の辛口 セット</x:v>
      </x:c>
      <x:c r="E56" s="62" t="str">
        <x:v>物品</x:v>
      </x:c>
      <x:c r="F56" s="61" t="str">
        <x:v>556</x:v>
      </x:c>
      <x:c r="G56" s="65" t="str">
        <x:v>初期詳細名</x:v>
      </x:c>
      <x:c r="H56" s="63" t="n">
        <x:v>0</x:v>
      </x:c>
      <x:c r="I56" s="63" t="n">
        <x:v>0</x:v>
      </x:c>
      <x:c r="J56" s="63" t="n">
        <x:v>27</x:v>
      </x:c>
      <x:c r="K56" s="63" t="n">
        <x:v>0</x:v>
      </x:c>
      <x:c r="L56" s="63" t="n">
        <x:f>H56-I56-J56+K56</x:f>
        <x:v>-27</x:v>
      </x:c>
      <x:c r="M56" s="64" t="n">
        <x:v>39037</x:v>
      </x:c>
      <x:c r="N56" s="64" t="n">
        <x:v>39077</x:v>
      </x:c>
    </x:row>
    <x:row r="57" ht="22" customHeight="1">
      <x:c r="A57" s="60" t="n">
        <x:v>48</x:v>
      </x:c>
      <x:c r="B57" s="61" t="str">
        <x:v>8062</x:v>
      </x:c>
      <x:c r="C57" s="62" t="str">
        <x:v>ITARO-P-08062</x:v>
      </x:c>
      <x:c r="D57" s="65" t="str">
        <x:v>安芸虎セット A-3</x:v>
      </x:c>
      <x:c r="E57" s="62" t="str">
        <x:v>物品</x:v>
      </x:c>
      <x:c r="F57" s="61" t="str">
        <x:v>585</x:v>
      </x:c>
      <x:c r="G57" s="65" t="str">
        <x:v>初期詳細名</x:v>
      </x:c>
      <x:c r="H57" s="63" t="n">
        <x:v>0</x:v>
      </x:c>
      <x:c r="I57" s="63" t="n">
        <x:v>0</x:v>
      </x:c>
      <x:c r="J57" s="63" t="n">
        <x:v>15</x:v>
      </x:c>
      <x:c r="K57" s="63" t="n">
        <x:v>0</x:v>
      </x:c>
      <x:c r="L57" s="63" t="n">
        <x:f>H57-I57-J57+K57</x:f>
        <x:v>-15</x:v>
      </x:c>
      <x:c r="M57" s="64" t="n">
        <x:v>39407</x:v>
      </x:c>
      <x:c r="N57" s="64" t="n">
        <x:v>39804</x:v>
      </x:c>
    </x:row>
    <x:row r="58" ht="22" customHeight="1">
      <x:c r="A58" s="60" t="n">
        <x:v>49</x:v>
      </x:c>
      <x:c r="B58" s="61" t="str">
        <x:v>8063</x:v>
      </x:c>
      <x:c r="C58" s="62" t="str">
        <x:v>ITARO-P-08063</x:v>
      </x:c>
      <x:c r="D58" s="65" t="str">
        <x:v>安芸虎蔵元直送 H-</x:v>
      </x:c>
      <x:c r="E58" s="62" t="str">
        <x:v>物品</x:v>
      </x:c>
      <x:c r="F58" s="61" t="str">
        <x:v>624</x:v>
      </x:c>
      <x:c r="G58" s="65" t="str">
        <x:v>初期詳細名</x:v>
      </x:c>
      <x:c r="H58" s="63" t="n">
        <x:v>0</x:v>
      </x:c>
      <x:c r="I58" s="63" t="n">
        <x:v>0</x:v>
      </x:c>
      <x:c r="J58" s="63" t="n">
        <x:v>27</x:v>
      </x:c>
      <x:c r="K58" s="63" t="n">
        <x:v>0</x:v>
      </x:c>
      <x:c r="L58" s="63" t="n">
        <x:f>H58-I58-J58+K58</x:f>
        <x:v>-27</x:v>
      </x:c>
      <x:c r="M58" s="64" t="n">
        <x:v>39620</x:v>
      </x:c>
      <x:c r="N58" s="64" t="n">
        <x:v>39664</x:v>
      </x:c>
    </x:row>
    <x:row r="59" ht="22" customHeight="1">
      <x:c r="A59" s="60" t="n">
        <x:v>50</x:v>
      </x:c>
      <x:c r="B59" s="61" t="str">
        <x:v>8064</x:v>
      </x:c>
      <x:c r="C59" s="62" t="str">
        <x:v>ITARO-P-08064</x:v>
      </x:c>
      <x:c r="D59" s="65" t="str">
        <x:v>安芸虎純大・純吟 飲みくらべ</x:v>
      </x:c>
      <x:c r="E59" s="62" t="str">
        <x:v>物品</x:v>
      </x:c>
      <x:c r="F59" s="61" t="str">
        <x:v>663</x:v>
      </x:c>
      <x:c r="G59" s="65" t="str">
        <x:v>初期詳細名</x:v>
      </x:c>
      <x:c r="H59" s="63" t="n">
        <x:v>0</x:v>
      </x:c>
      <x:c r="I59" s="63" t="n">
        <x:v>0</x:v>
      </x:c>
      <x:c r="J59" s="63" t="n">
        <x:v>15</x:v>
      </x:c>
      <x:c r="K59" s="63" t="n">
        <x:v>0</x:v>
      </x:c>
      <x:c r="L59" s="63" t="n">
        <x:f>H59-I59-J59+K59</x:f>
        <x:v>-15</x:v>
      </x:c>
      <x:c r="M59" s="64" t="n">
        <x:v>39786</x:v>
      </x:c>
      <x:c r="N59" s="64" t="n">
        <x:v>40172</x:v>
      </x:c>
    </x:row>
    <x:row r="60" ht="22" customHeight="1">
      <x:c r="A60" s="60" t="n">
        <x:v>51</x:v>
      </x:c>
      <x:c r="B60" s="61" t="str">
        <x:v>8065</x:v>
      </x:c>
      <x:c r="C60" s="62" t="str">
        <x:v>ITARO-P-08065</x:v>
      </x:c>
      <x:c r="D60" s="65" t="str">
        <x:v>安芸虎蔵元直送 HA-</x:v>
      </x:c>
      <x:c r="E60" s="62" t="str">
        <x:v>物品</x:v>
      </x:c>
      <x:c r="F60" s="61" t="str">
        <x:v>664</x:v>
      </x:c>
      <x:c r="G60" s="65" t="str">
        <x:v>初期詳細名</x:v>
      </x:c>
      <x:c r="H60" s="63" t="n">
        <x:v>0</x:v>
      </x:c>
      <x:c r="I60" s="63" t="n">
        <x:v>0</x:v>
      </x:c>
      <x:c r="J60" s="63" t="n">
        <x:v>13</x:v>
      </x:c>
      <x:c r="K60" s="63" t="n">
        <x:v>0</x:v>
      </x:c>
      <x:c r="L60" s="63" t="n">
        <x:f>H60-I60-J60+K60</x:f>
        <x:v>-13</x:v>
      </x:c>
      <x:c r="M60" s="64" t="n">
        <x:v>39783</x:v>
      </x:c>
      <x:c r="N60" s="64" t="n">
        <x:v>39798</x:v>
      </x:c>
    </x:row>
    <x:row r="61" ht="22" customHeight="1">
      <x:c r="A61" s="60" t="n">
        <x:v>52</x:v>
      </x:c>
      <x:c r="B61" s="61" t="str">
        <x:v>8066</x:v>
      </x:c>
      <x:c r="C61" s="62" t="str">
        <x:v>ITARO-P-08066</x:v>
      </x:c>
      <x:c r="D61" s="65" t="str">
        <x:v>安芸虎大吟純吟セット M</x:v>
      </x:c>
      <x:c r="E61" s="62" t="str">
        <x:v>物品</x:v>
      </x:c>
      <x:c r="F61" s="61" t="str">
        <x:v>666</x:v>
      </x:c>
      <x:c r="G61" s="65" t="str">
        <x:v>初期詳細名</x:v>
      </x:c>
      <x:c r="H61" s="63" t="n">
        <x:v>0</x:v>
      </x:c>
      <x:c r="I61" s="63" t="n">
        <x:v>0</x:v>
      </x:c>
      <x:c r="J61" s="63" t="n">
        <x:v>23</x:v>
      </x:c>
      <x:c r="K61" s="63" t="n">
        <x:v>1</x:v>
      </x:c>
      <x:c r="L61" s="63" t="n">
        <x:f>H61-I61-J61+K61</x:f>
        <x:v>-22</x:v>
      </x:c>
      <x:c r="M61" s="64" t="n">
        <x:v>39757</x:v>
      </x:c>
      <x:c r="N61" s="64" t="n">
        <x:v>40058</x:v>
      </x:c>
    </x:row>
    <x:row r="62" ht="22" customHeight="1">
      <x:c r="A62" s="60" t="n">
        <x:v>53</x:v>
      </x:c>
      <x:c r="B62" s="61" t="str">
        <x:v>8067</x:v>
      </x:c>
      <x:c r="C62" s="62" t="str">
        <x:v>ITARO-P-08067</x:v>
      </x:c>
      <x:c r="D62" s="65" t="str">
        <x:v>安芸虎セット S-3</x:v>
      </x:c>
      <x:c r="E62" s="62" t="str">
        <x:v>物品</x:v>
      </x:c>
      <x:c r="F62" s="61" t="str">
        <x:v>683</x:v>
      </x:c>
      <x:c r="G62" s="65" t="str">
        <x:v>初期詳細名</x:v>
      </x:c>
      <x:c r="H62" s="63" t="n">
        <x:v>0</x:v>
      </x:c>
      <x:c r="I62" s="63" t="n">
        <x:v>0</x:v>
      </x:c>
      <x:c r="J62" s="63" t="n">
        <x:v>1</x:v>
      </x:c>
      <x:c r="K62" s="63" t="n">
        <x:v>0</x:v>
      </x:c>
      <x:c r="L62" s="63" t="n">
        <x:f>H62-I62-J62+K62</x:f>
        <x:v>-1</x:v>
      </x:c>
      <x:c r="M62" s="64" t="n">
        <x:v>39805</x:v>
      </x:c>
      <x:c r="N62" s="64" t="n">
        <x:v>39805</x:v>
      </x:c>
    </x:row>
    <x:row r="63" ht="22" customHeight="1">
      <x:c r="A63" s="60" t="n">
        <x:v>54</x:v>
      </x:c>
      <x:c r="B63" s="61" t="str">
        <x:v>8068</x:v>
      </x:c>
      <x:c r="C63" s="62" t="str">
        <x:v>ITARO-P-08068</x:v>
      </x:c>
      <x:c r="D63" s="65" t="str">
        <x:v>安芸虎セット純大 S-5</x:v>
      </x:c>
      <x:c r="E63" s="62" t="str">
        <x:v>物品</x:v>
      </x:c>
      <x:c r="F63" s="61" t="str">
        <x:v>684</x:v>
      </x:c>
      <x:c r="G63" s="65" t="str">
        <x:v>初期詳細名</x:v>
      </x:c>
      <x:c r="H63" s="63" t="n">
        <x:v>0</x:v>
      </x:c>
      <x:c r="I63" s="63" t="n">
        <x:v>0</x:v>
      </x:c>
      <x:c r="J63" s="63" t="n">
        <x:v>1</x:v>
      </x:c>
      <x:c r="K63" s="63" t="n">
        <x:v>0</x:v>
      </x:c>
      <x:c r="L63" s="63" t="n">
        <x:f>H63-I63-J63+K63</x:f>
        <x:v>-1</x:v>
      </x:c>
      <x:c r="M63" s="64" t="n">
        <x:v>39805</x:v>
      </x:c>
      <x:c r="N63" s="64" t="n">
        <x:v>39805</x:v>
      </x:c>
    </x:row>
    <x:row r="64" ht="22" customHeight="1">
      <x:c r="A64" s="60" t="n">
        <x:v>55</x:v>
      </x:c>
      <x:c r="B64" s="61" t="str">
        <x:v>8069</x:v>
      </x:c>
      <x:c r="C64" s="62" t="str">
        <x:v>ITARO-P-08069</x:v>
      </x:c>
      <x:c r="D64" s="65" t="str">
        <x:v>安芸虎セット S-夏生</x:v>
      </x:c>
      <x:c r="E64" s="62" t="str">
        <x:v>物品</x:v>
      </x:c>
      <x:c r="F64" s="61" t="str">
        <x:v>716</x:v>
      </x:c>
      <x:c r="G64" s="65" t="str">
        <x:v>初期詳細名</x:v>
      </x:c>
      <x:c r="H64" s="63" t="n">
        <x:v>0</x:v>
      </x:c>
      <x:c r="I64" s="63" t="n">
        <x:v>0</x:v>
      </x:c>
      <x:c r="J64" s="63" t="n">
        <x:v>7</x:v>
      </x:c>
      <x:c r="K64" s="63" t="n">
        <x:v>0</x:v>
      </x:c>
      <x:c r="L64" s="63" t="n">
        <x:f>H64-I64-J64+K64</x:f>
        <x:v>-7</x:v>
      </x:c>
      <x:c r="M64" s="64" t="n">
        <x:v>39997</x:v>
      </x:c>
      <x:c r="N64" s="64" t="n">
        <x:v>40035</x:v>
      </x:c>
    </x:row>
    <x:row r="65" ht="22" customHeight="1">
      <x:c r="A65" s="60" t="n">
        <x:v>56</x:v>
      </x:c>
      <x:c r="B65" s="61" t="str">
        <x:v>8070</x:v>
      </x:c>
      <x:c r="C65" s="62" t="str">
        <x:v>ITARO-P-08070</x:v>
      </x:c>
      <x:c r="D65" s="65" t="str">
        <x:v>安芸虎夏の純米吟醸 セット-S</x:v>
      </x:c>
      <x:c r="E65" s="62" t="str">
        <x:v>物品</x:v>
      </x:c>
      <x:c r="F65" s="61" t="str">
        <x:v>717</x:v>
      </x:c>
      <x:c r="G65" s="65" t="str">
        <x:v>初期詳細名</x:v>
      </x:c>
      <x:c r="H65" s="63" t="n">
        <x:v>0</x:v>
      </x:c>
      <x:c r="I65" s="63" t="n">
        <x:v>0</x:v>
      </x:c>
      <x:c r="J65" s="63" t="n">
        <x:v>30</x:v>
      </x:c>
      <x:c r="K65" s="63" t="n">
        <x:v>0</x:v>
      </x:c>
      <x:c r="L65" s="63" t="n">
        <x:f>H65-I65-J65+K65</x:f>
        <x:v>-30</x:v>
      </x:c>
      <x:c r="M65" s="64" t="n">
        <x:v>39953</x:v>
      </x:c>
      <x:c r="N65" s="64" t="n">
        <x:v>41835</x:v>
      </x:c>
    </x:row>
    <x:row r="66" ht="22" customHeight="1">
      <x:c r="A66" s="60" t="n">
        <x:v>57</x:v>
      </x:c>
      <x:c r="B66" s="61" t="str">
        <x:v>8071</x:v>
      </x:c>
      <x:c r="C66" s="62" t="str">
        <x:v>ITARO-P-08071</x:v>
      </x:c>
      <x:c r="D66" s="65" t="str">
        <x:v>018安芸虎純米大吟醸セット SA18-</x:v>
      </x:c>
      <x:c r="E66" s="62" t="str">
        <x:v>物品</x:v>
      </x:c>
      <x:c r="F66" s="61" t="str">
        <x:v>742</x:v>
      </x:c>
      <x:c r="G66" s="65" t="str">
        <x:v>初期詳細名</x:v>
      </x:c>
      <x:c r="H66" s="63" t="n">
        <x:v>0</x:v>
      </x:c>
      <x:c r="I66" s="63" t="n">
        <x:v>0</x:v>
      </x:c>
      <x:c r="J66" s="63" t="n">
        <x:v>52</x:v>
      </x:c>
      <x:c r="K66" s="63" t="n">
        <x:v>0</x:v>
      </x:c>
      <x:c r="L66" s="63" t="n">
        <x:f>H66-I66-J66+K66</x:f>
        <x:v>-52</x:v>
      </x:c>
      <x:c r="M66" s="64" t="n">
        <x:v>40238</x:v>
      </x:c>
      <x:c r="N66" s="64" t="n">
        <x:v>46000</x:v>
      </x:c>
    </x:row>
    <x:row r="67" ht="22" customHeight="1">
      <x:c r="A67" s="60" t="n">
        <x:v>58</x:v>
      </x:c>
      <x:c r="B67" s="61" t="str">
        <x:v>8072</x:v>
      </x:c>
      <x:c r="C67" s="62" t="str">
        <x:v>ITARO-P-08072</x:v>
      </x:c>
      <x:c r="D67" s="65" t="str">
        <x:v>019安芸虎お気軽に純米吟醸セット SA19-</x:v>
      </x:c>
      <x:c r="E67" s="62" t="str">
        <x:v>物品</x:v>
      </x:c>
      <x:c r="F67" s="61" t="str">
        <x:v>763</x:v>
      </x:c>
      <x:c r="G67" s="65" t="str">
        <x:v>初期詳細名</x:v>
      </x:c>
      <x:c r="H67" s="63" t="n">
        <x:v>0</x:v>
      </x:c>
      <x:c r="I67" s="63" t="n">
        <x:v>0</x:v>
      </x:c>
      <x:c r="J67" s="63" t="n">
        <x:v>54</x:v>
      </x:c>
      <x:c r="K67" s="63" t="n">
        <x:v>0</x:v>
      </x:c>
      <x:c r="L67" s="63" t="n">
        <x:f>H67-I67-J67+K67</x:f>
        <x:v>-54</x:v>
      </x:c>
      <x:c r="M67" s="64" t="n">
        <x:v>40161</x:v>
      </x:c>
      <x:c r="N67" s="64" t="n">
        <x:v>46014</x:v>
      </x:c>
    </x:row>
    <x:row r="68" ht="22" customHeight="1">
      <x:c r="A68" s="60" t="n">
        <x:v>59</x:v>
      </x:c>
      <x:c r="B68" s="61" t="str">
        <x:v>8073</x:v>
      </x:c>
      <x:c r="C68" s="62" t="str">
        <x:v>ITARO-P-08073</x:v>
      </x:c>
      <x:c r="D68" s="65" t="str">
        <x:v>014安芸虎しっかり純米セット SA14-</x:v>
      </x:c>
      <x:c r="E68" s="62" t="str">
        <x:v>物品</x:v>
      </x:c>
      <x:c r="F68" s="61" t="str">
        <x:v>745</x:v>
      </x:c>
      <x:c r="G68" s="65" t="str">
        <x:v>初期詳細名</x:v>
      </x:c>
      <x:c r="H68" s="63" t="n">
        <x:v>0</x:v>
      </x:c>
      <x:c r="I68" s="63" t="n">
        <x:v>0</x:v>
      </x:c>
      <x:c r="J68" s="63" t="n">
        <x:v>66</x:v>
      </x:c>
      <x:c r="K68" s="63" t="n">
        <x:v>6</x:v>
      </x:c>
      <x:c r="L68" s="63" t="n">
        <x:f>H68-I68-J68+K68</x:f>
        <x:v>-60</x:v>
      </x:c>
      <x:c r="M68" s="64" t="n">
        <x:v>40114</x:v>
      </x:c>
      <x:c r="N68" s="64" t="n">
        <x:v>44182</x:v>
      </x:c>
    </x:row>
    <x:row r="69" ht="22" customHeight="1">
      <x:c r="A69" s="60" t="n">
        <x:v>60</x:v>
      </x:c>
      <x:c r="B69" s="61" t="str">
        <x:v>8074</x:v>
      </x:c>
      <x:c r="C69" s="62" t="str">
        <x:v>ITARO-P-08074</x:v>
      </x:c>
      <x:c r="D69" s="65" t="str">
        <x:v>安芸虎「潦」0.72Lセット</x:v>
      </x:c>
      <x:c r="E69" s="62" t="str">
        <x:v>物品</x:v>
      </x:c>
      <x:c r="F69" s="61" t="str">
        <x:v>798</x:v>
      </x:c>
      <x:c r="G69" s="65" t="str">
        <x:v>初期詳細名</x:v>
      </x:c>
      <x:c r="H69" s="63" t="n">
        <x:v>0</x:v>
      </x:c>
      <x:c r="I69" s="63" t="n">
        <x:v>0</x:v>
      </x:c>
      <x:c r="J69" s="63" t="n">
        <x:v>47</x:v>
      </x:c>
      <x:c r="K69" s="63" t="n">
        <x:v>0</x:v>
      </x:c>
      <x:c r="L69" s="63" t="n">
        <x:f>H69-I69-J69+K69</x:f>
        <x:v>-47</x:v>
      </x:c>
      <x:c r="M69" s="64" t="n">
        <x:v>40366</x:v>
      </x:c>
      <x:c r="N69" s="64" t="n">
        <x:v>46016</x:v>
      </x:c>
    </x:row>
    <x:row r="70" ht="22" customHeight="1">
      <x:c r="A70" s="60" t="n">
        <x:v>61</x:v>
      </x:c>
      <x:c r="B70" s="61" t="str">
        <x:v>8075</x:v>
      </x:c>
      <x:c r="C70" s="62" t="str">
        <x:v>ITARO-P-08075</x:v>
      </x:c>
      <x:c r="D70" s="65" t="str">
        <x:v>安芸虎純米･純吟セット KS</x:v>
      </x:c>
      <x:c r="E70" s="62" t="str">
        <x:v>物品</x:v>
      </x:c>
      <x:c r="F70" s="61" t="str">
        <x:v>889</x:v>
      </x:c>
      <x:c r="G70" s="65" t="str">
        <x:v>初期詳細名</x:v>
      </x:c>
      <x:c r="H70" s="63" t="n">
        <x:v>0</x:v>
      </x:c>
      <x:c r="I70" s="63" t="n">
        <x:v>0</x:v>
      </x:c>
      <x:c r="J70" s="63" t="n">
        <x:v>3</x:v>
      </x:c>
      <x:c r="K70" s="63" t="n">
        <x:v>0</x:v>
      </x:c>
      <x:c r="L70" s="63" t="n">
        <x:f>H70-I70-J70+K70</x:f>
        <x:v>-3</x:v>
      </x:c>
      <x:c r="M70" s="64" t="n">
        <x:v>40879</x:v>
      </x:c>
      <x:c r="N70" s="64" t="n">
        <x:v>40890</x:v>
      </x:c>
    </x:row>
    <x:row r="71" ht="22" customHeight="1">
      <x:c r="A71" s="60" t="n">
        <x:v>62</x:v>
      </x:c>
      <x:c r="B71" s="61" t="str">
        <x:v>8077</x:v>
      </x:c>
      <x:c r="C71" s="62" t="str">
        <x:v>ITARO-P-08077</x:v>
      </x:c>
      <x:c r="D71" s="65" t="str">
        <x:v>土佐米だけの安芸虎セット TS</x:v>
      </x:c>
      <x:c r="E71" s="62" t="str">
        <x:v>物品</x:v>
      </x:c>
      <x:c r="F71" s="61" t="str">
        <x:v>925</x:v>
      </x:c>
      <x:c r="G71" s="65" t="str">
        <x:v>初期詳細名</x:v>
      </x:c>
      <x:c r="H71" s="63" t="n">
        <x:v>0</x:v>
      </x:c>
      <x:c r="I71" s="63" t="n">
        <x:v>0</x:v>
      </x:c>
      <x:c r="J71" s="63" t="n">
        <x:v>7</x:v>
      </x:c>
      <x:c r="K71" s="63" t="n">
        <x:v>0</x:v>
      </x:c>
      <x:c r="L71" s="63" t="n">
        <x:f>H71-I71-J71+K71</x:f>
        <x:v>-7</x:v>
      </x:c>
      <x:c r="M71" s="64" t="n">
        <x:v>41236</x:v>
      </x:c>
      <x:c r="N71" s="64" t="n">
        <x:v>41632</x:v>
      </x:c>
    </x:row>
    <x:row r="72" ht="22" customHeight="1">
      <x:c r="A72" s="60" t="n">
        <x:v>63</x:v>
      </x:c>
      <x:c r="B72" s="61" t="str">
        <x:v>8080</x:v>
      </x:c>
      <x:c r="C72" s="62" t="str">
        <x:v>ITARO-P-08080</x:v>
      </x:c>
      <x:c r="D72" s="65" t="str">
        <x:v>安芸虎「えい彌っ」志の道セット</x:v>
      </x:c>
      <x:c r="E72" s="62" t="str">
        <x:v>物品</x:v>
      </x:c>
      <x:c r="F72" s="61" t="str">
        <x:v>1012</x:v>
      </x:c>
      <x:c r="G72" s="65" t="str">
        <x:v>初期詳細名</x:v>
      </x:c>
      <x:c r="H72" s="63" t="n">
        <x:v>0</x:v>
      </x:c>
      <x:c r="I72" s="63" t="n">
        <x:v>0</x:v>
      </x:c>
      <x:c r="J72" s="63" t="n">
        <x:v>3</x:v>
      </x:c>
      <x:c r="K72" s="63" t="n">
        <x:v>0</x:v>
      </x:c>
      <x:c r="L72" s="63" t="n">
        <x:f>H72-I72-J72+K72</x:f>
        <x:v>-3</x:v>
      </x:c>
      <x:c r="M72" s="64" t="n">
        <x:v>42503</x:v>
      </x:c>
      <x:c r="N72" s="64" t="n">
        <x:v>42970</x:v>
      </x:c>
    </x:row>
    <x:row r="73" ht="22" customHeight="1">
      <x:c r="A73" s="60" t="n">
        <x:v>64</x:v>
      </x:c>
      <x:c r="B73" s="61" t="str">
        <x:v>8090</x:v>
      </x:c>
      <x:c r="C73" s="62" t="str">
        <x:v>ITARO-P-08090</x:v>
      </x:c>
      <x:c r="D73" s="65" t="str">
        <x:v>安芸虎のみくらべセット SA16、20</x:v>
      </x:c>
      <x:c r="E73" s="62" t="str">
        <x:v>物品</x:v>
      </x:c>
      <x:c r="F73" s="61" t="str">
        <x:v>1117</x:v>
      </x:c>
      <x:c r="G73" s="65" t="str">
        <x:v>初期詳細名</x:v>
      </x:c>
      <x:c r="H73" s="63" t="n">
        <x:v>0</x:v>
      </x:c>
      <x:c r="I73" s="63" t="n">
        <x:v>0</x:v>
      </x:c>
      <x:c r="J73" s="63" t="n">
        <x:v>20</x:v>
      </x:c>
      <x:c r="K73" s="63" t="n">
        <x:v>0</x:v>
      </x:c>
      <x:c r="L73" s="63" t="n">
        <x:f>H73-I73-J73+K73</x:f>
        <x:v>-20</x:v>
      </x:c>
      <x:c r="M73" s="64" t="n">
        <x:v>44354</x:v>
      </x:c>
      <x:c r="N73" s="64" t="n">
        <x:v>44624</x:v>
      </x:c>
    </x:row>
    <x:row r="74" ht="22" customHeight="1">
      <x:c r="A74" s="60" t="n">
        <x:v>65</x:v>
      </x:c>
      <x:c r="B74" s="61" t="str">
        <x:v>8103</x:v>
      </x:c>
      <x:c r="C74" s="62" t="str">
        <x:v>ITARO-P-08103</x:v>
      </x:c>
      <x:c r="D74" s="65" t="str">
        <x:v>カートン 伊太郎 用箱 1本入</x:v>
      </x:c>
      <x:c r="E74" s="62" t="str">
        <x:v>物品</x:v>
      </x:c>
      <x:c r="F74" s="61" t="str">
        <x:v>372</x:v>
      </x:c>
      <x:c r="G74" s="65" t="str">
        <x:v>初期詳細名</x:v>
      </x:c>
      <x:c r="H74" s="63" t="n">
        <x:v>0</x:v>
      </x:c>
      <x:c r="I74" s="63" t="n">
        <x:v>0</x:v>
      </x:c>
      <x:c r="J74" s="63" t="n">
        <x:v>156</x:v>
      </x:c>
      <x:c r="K74" s="63" t="n">
        <x:v>0</x:v>
      </x:c>
      <x:c r="L74" s="63" t="n">
        <x:f>H74-I74-J74+K74</x:f>
        <x:v>-156</x:v>
      </x:c>
      <x:c r="M74" s="64" t="n">
        <x:v>38265</x:v>
      </x:c>
      <x:c r="N74" s="64" t="n">
        <x:v>42970</x:v>
      </x:c>
    </x:row>
    <x:row r="75" ht="22" customHeight="1">
      <x:c r="A75" s="60" t="n">
        <x:v>66</x:v>
      </x:c>
      <x:c r="B75" s="61" t="str">
        <x:v>8200</x:v>
      </x:c>
      <x:c r="C75" s="62" t="str">
        <x:v>ITARO-P-08200</x:v>
      </x:c>
      <x:c r="D75" s="65" t="str">
        <x:v>送料 1件</x:v>
      </x:c>
      <x:c r="E75" s="62" t="str">
        <x:v>物品</x:v>
      </x:c>
      <x:c r="F75" s="61" t="str">
        <x:v>373</x:v>
      </x:c>
      <x:c r="G75" s="65" t="str">
        <x:v>初期詳細名</x:v>
      </x:c>
      <x:c r="H75" s="63" t="n">
        <x:v>0</x:v>
      </x:c>
      <x:c r="I75" s="63" t="n">
        <x:v>0</x:v>
      </x:c>
      <x:c r="J75" s="63" t="n">
        <x:v>2467</x:v>
      </x:c>
      <x:c r="K75" s="63" t="n">
        <x:v>13</x:v>
      </x:c>
      <x:c r="L75" s="63" t="n">
        <x:f>H75-I75-J75+K75</x:f>
        <x:v>-2454</x:v>
      </x:c>
      <x:c r="M75" s="64" t="n">
        <x:v>38139</x:v>
      </x:c>
      <x:c r="N75" s="64" t="n">
        <x:v>46227</x:v>
      </x:c>
    </x:row>
    <x:row r="76" ht="22" customHeight="1">
      <x:c r="A76" s="60" t="n">
        <x:v>67</x:v>
      </x:c>
      <x:c r="B76" s="61" t="str">
        <x:v>8201</x:v>
      </x:c>
      <x:c r="C76" s="62" t="str">
        <x:v>ITARO-P-08201</x:v>
      </x:c>
      <x:c r="D76" s="65" t="str">
        <x:v>カートン 宅配便箱 1本入</x:v>
      </x:c>
      <x:c r="E76" s="62" t="str">
        <x:v>物品</x:v>
      </x:c>
      <x:c r="F76" s="61" t="str">
        <x:v>374</x:v>
      </x:c>
      <x:c r="G76" s="65" t="str">
        <x:v>初期詳細名</x:v>
      </x:c>
      <x:c r="H76" s="63" t="n">
        <x:v>0</x:v>
      </x:c>
      <x:c r="I76" s="63" t="n">
        <x:v>0</x:v>
      </x:c>
      <x:c r="J76" s="63" t="n">
        <x:v>411</x:v>
      </x:c>
      <x:c r="K76" s="63" t="n">
        <x:v>0</x:v>
      </x:c>
      <x:c r="L76" s="63" t="n">
        <x:f>H76-I76-J76+K76</x:f>
        <x:v>-411</x:v>
      </x:c>
      <x:c r="M76" s="64" t="n">
        <x:v>38184</x:v>
      </x:c>
      <x:c r="N76" s="64" t="n">
        <x:v>46224</x:v>
      </x:c>
    </x:row>
    <x:row r="77" ht="22" customHeight="1">
      <x:c r="A77" s="60" t="n">
        <x:v>68</x:v>
      </x:c>
      <x:c r="B77" s="61" t="str">
        <x:v>8202</x:v>
      </x:c>
      <x:c r="C77" s="62" t="str">
        <x:v>ITARO-P-08202</x:v>
      </x:c>
      <x:c r="D77" s="65" t="str">
        <x:v>カートン 宅配便箱 2本入</x:v>
      </x:c>
      <x:c r="E77" s="62" t="str">
        <x:v>物品</x:v>
      </x:c>
      <x:c r="F77" s="61" t="str">
        <x:v>375</x:v>
      </x:c>
      <x:c r="G77" s="65" t="str">
        <x:v>初期詳細名</x:v>
      </x:c>
      <x:c r="H77" s="63" t="n">
        <x:v>0</x:v>
      </x:c>
      <x:c r="I77" s="63" t="n">
        <x:v>0</x:v>
      </x:c>
      <x:c r="J77" s="63" t="n">
        <x:v>537</x:v>
      </x:c>
      <x:c r="K77" s="63" t="n">
        <x:v>0</x:v>
      </x:c>
      <x:c r="L77" s="63" t="n">
        <x:f>H77-I77-J77+K77</x:f>
        <x:v>-537</x:v>
      </x:c>
      <x:c r="M77" s="64" t="n">
        <x:v>38141</x:v>
      </x:c>
      <x:c r="N77" s="64" t="n">
        <x:v>46027</x:v>
      </x:c>
    </x:row>
    <x:row r="78" ht="22" customHeight="1">
      <x:c r="A78" s="60" t="n">
        <x:v>69</x:v>
      </x:c>
      <x:c r="B78" s="61" t="str">
        <x:v>8204</x:v>
      </x:c>
      <x:c r="C78" s="62" t="str">
        <x:v>ITARO-P-08204</x:v>
      </x:c>
      <x:c r="D78" s="65" t="str">
        <x:v>カートン 宅配便箱720ｍｌ 1本入</x:v>
      </x:c>
      <x:c r="E78" s="62" t="str">
        <x:v>物品</x:v>
      </x:c>
      <x:c r="F78" s="61" t="str">
        <x:v>656</x:v>
      </x:c>
      <x:c r="G78" s="65" t="str">
        <x:v>初期詳細名</x:v>
      </x:c>
      <x:c r="H78" s="63" t="n">
        <x:v>0</x:v>
      </x:c>
      <x:c r="I78" s="63" t="n">
        <x:v>0</x:v>
      </x:c>
      <x:c r="J78" s="63" t="n">
        <x:v>59</x:v>
      </x:c>
      <x:c r="K78" s="63" t="n">
        <x:v>0</x:v>
      </x:c>
      <x:c r="L78" s="63" t="n">
        <x:f>H78-I78-J78+K78</x:f>
        <x:v>-59</x:v>
      </x:c>
      <x:c r="M78" s="64" t="n">
        <x:v>39622</x:v>
      </x:c>
      <x:c r="N78" s="64" t="n">
        <x:v>46080</x:v>
      </x:c>
    </x:row>
    <x:row r="79" ht="22" customHeight="1">
      <x:c r="A79" s="60" t="n">
        <x:v>70</x:v>
      </x:c>
      <x:c r="B79" s="61" t="str">
        <x:v>8205</x:v>
      </x:c>
      <x:c r="C79" s="62" t="str">
        <x:v>ITARO-P-08205</x:v>
      </x:c>
      <x:c r="D79" s="65" t="str">
        <x:v>カートン 宅配便箱720ｍｌ 2本入</x:v>
      </x:c>
      <x:c r="E79" s="62" t="str">
        <x:v>物品</x:v>
      </x:c>
      <x:c r="F79" s="61" t="str">
        <x:v>657</x:v>
      </x:c>
      <x:c r="G79" s="65" t="str">
        <x:v>初期詳細名</x:v>
      </x:c>
      <x:c r="H79" s="63" t="n">
        <x:v>0</x:v>
      </x:c>
      <x:c r="I79" s="63" t="n">
        <x:v>0</x:v>
      </x:c>
      <x:c r="J79" s="63" t="n">
        <x:v>218</x:v>
      </x:c>
      <x:c r="K79" s="63" t="n">
        <x:v>0</x:v>
      </x:c>
      <x:c r="L79" s="63" t="n">
        <x:f>H79-I79-J79+K79</x:f>
        <x:v>-218</x:v>
      </x:c>
      <x:c r="M79" s="64" t="n">
        <x:v>39629</x:v>
      </x:c>
      <x:c r="N79" s="64" t="n">
        <x:v>46226</x:v>
      </x:c>
    </x:row>
    <x:row r="80" ht="22" customHeight="1">
      <x:c r="A80" s="60" t="n">
        <x:v>71</x:v>
      </x:c>
      <x:c r="B80" s="61" t="str">
        <x:v>8210</x:v>
      </x:c>
      <x:c r="C80" s="62" t="str">
        <x:v>ITARO-P-08210</x:v>
      </x:c>
      <x:c r="D80" s="65" t="str">
        <x:v>送料 高知県内 1件</x:v>
      </x:c>
      <x:c r="E80" s="62" t="str">
        <x:v>物品</x:v>
      </x:c>
      <x:c r="F80" s="61" t="str">
        <x:v>415</x:v>
      </x:c>
      <x:c r="G80" s="65" t="str">
        <x:v>初期詳細名</x:v>
      </x:c>
      <x:c r="H80" s="63" t="n">
        <x:v>0</x:v>
      </x:c>
      <x:c r="I80" s="63" t="n">
        <x:v>0</x:v>
      </x:c>
      <x:c r="J80" s="63" t="n">
        <x:v>32</x:v>
      </x:c>
      <x:c r="K80" s="63" t="n">
        <x:v>0</x:v>
      </x:c>
      <x:c r="L80" s="63" t="n">
        <x:f>H80-I80-J80+K80</x:f>
        <x:v>-32</x:v>
      </x:c>
      <x:c r="M80" s="64" t="n">
        <x:v>38279</x:v>
      </x:c>
      <x:c r="N80" s="64" t="n">
        <x:v>38470</x:v>
      </x:c>
    </x:row>
    <x:row r="81" ht="22" customHeight="1">
      <x:c r="A81" s="60" t="n">
        <x:v>72</x:v>
      </x:c>
      <x:c r="B81" s="61" t="str">
        <x:v>8210</x:v>
      </x:c>
      <x:c r="C81" s="62" t="str">
        <x:v>ITARO-P-08210</x:v>
      </x:c>
      <x:c r="D81" s="65" t="str">
        <x:v>送料 高知県内 1件</x:v>
      </x:c>
      <x:c r="E81" s="62" t="str">
        <x:v>物品</x:v>
      </x:c>
      <x:c r="F81" s="61" t="str">
        <x:v>419</x:v>
      </x:c>
      <x:c r="G81" s="65" t="str">
        <x:v>初期詳細名</x:v>
      </x:c>
      <x:c r="H81" s="63" t="n">
        <x:v>0</x:v>
      </x:c>
      <x:c r="I81" s="63" t="n">
        <x:v>0</x:v>
      </x:c>
      <x:c r="J81" s="63" t="n">
        <x:v>712</x:v>
      </x:c>
      <x:c r="K81" s="63" t="n">
        <x:v>0</x:v>
      </x:c>
      <x:c r="L81" s="63" t="n">
        <x:f>H81-I81-J81+K81</x:f>
        <x:v>-712</x:v>
      </x:c>
      <x:c r="M81" s="64" t="n">
        <x:v>38268</x:v>
      </x:c>
      <x:c r="N81" s="64" t="n">
        <x:v>46224</x:v>
      </x:c>
    </x:row>
    <x:row r="82" ht="22" customHeight="1">
      <x:c r="A82" s="60" t="n">
        <x:v>73</x:v>
      </x:c>
      <x:c r="B82" s="61" t="str">
        <x:v>8211</x:v>
      </x:c>
      <x:c r="C82" s="62" t="str">
        <x:v>ITARO-P-08211</x:v>
      </x:c>
      <x:c r="D82" s="65" t="str">
        <x:v>送料 四国内 1件</x:v>
      </x:c>
      <x:c r="E82" s="62" t="str">
        <x:v>物品</x:v>
      </x:c>
      <x:c r="F82" s="61" t="str">
        <x:v>416</x:v>
      </x:c>
      <x:c r="G82" s="65" t="str">
        <x:v>初期詳細名</x:v>
      </x:c>
      <x:c r="H82" s="63" t="n">
        <x:v>0</x:v>
      </x:c>
      <x:c r="I82" s="63" t="n">
        <x:v>0</x:v>
      </x:c>
      <x:c r="J82" s="63" t="n">
        <x:v>6</x:v>
      </x:c>
      <x:c r="K82" s="63" t="n">
        <x:v>0</x:v>
      </x:c>
      <x:c r="L82" s="63" t="n">
        <x:f>H82-I82-J82+K82</x:f>
        <x:v>-6</x:v>
      </x:c>
      <x:c r="M82" s="64" t="n">
        <x:v>38264</x:v>
      </x:c>
      <x:c r="N82" s="64" t="n">
        <x:v>38348</x:v>
      </x:c>
    </x:row>
    <x:row r="83" ht="22" customHeight="1">
      <x:c r="A83" s="60" t="n">
        <x:v>74</x:v>
      </x:c>
      <x:c r="B83" s="61" t="str">
        <x:v>8211</x:v>
      </x:c>
      <x:c r="C83" s="62" t="str">
        <x:v>ITARO-P-08211</x:v>
      </x:c>
      <x:c r="D83" s="65" t="str">
        <x:v>送料 四国内 1件</x:v>
      </x:c>
      <x:c r="E83" s="62" t="str">
        <x:v>物品</x:v>
      </x:c>
      <x:c r="F83" s="61" t="str">
        <x:v>420</x:v>
      </x:c>
      <x:c r="G83" s="65" t="str">
        <x:v>初期詳細名</x:v>
      </x:c>
      <x:c r="H83" s="63" t="n">
        <x:v>0</x:v>
      </x:c>
      <x:c r="I83" s="63" t="n">
        <x:v>0</x:v>
      </x:c>
      <x:c r="J83" s="63" t="n">
        <x:v>418</x:v>
      </x:c>
      <x:c r="K83" s="63" t="n">
        <x:v>0</x:v>
      </x:c>
      <x:c r="L83" s="63" t="n">
        <x:f>H83-I83-J83+K83</x:f>
        <x:v>-418</x:v>
      </x:c>
      <x:c r="M83" s="64" t="n">
        <x:v>38292</x:v>
      </x:c>
      <x:c r="N83" s="64" t="n">
        <x:v>46220</x:v>
      </x:c>
    </x:row>
    <x:row r="84" ht="22" customHeight="1">
      <x:c r="A84" s="60" t="n">
        <x:v>75</x:v>
      </x:c>
      <x:c r="B84" s="61" t="str">
        <x:v>8212</x:v>
      </x:c>
      <x:c r="C84" s="62" t="str">
        <x:v>ITARO-P-08212</x:v>
      </x:c>
      <x:c r="D84" s="65" t="str">
        <x:v>送料 関西中国地方 1件</x:v>
      </x:c>
      <x:c r="E84" s="62" t="str">
        <x:v>物品</x:v>
      </x:c>
      <x:c r="F84" s="61" t="str">
        <x:v>417</x:v>
      </x:c>
      <x:c r="G84" s="65" t="str">
        <x:v>名称未登録</x:v>
      </x:c>
      <x:c r="H84" s="63" t="n">
        <x:v>0</x:v>
      </x:c>
      <x:c r="I84" s="63" t="n">
        <x:v>0</x:v>
      </x:c>
      <x:c r="J84" s="63" t="n">
        <x:v>87</x:v>
      </x:c>
      <x:c r="K84" s="63" t="n">
        <x:v>0</x:v>
      </x:c>
      <x:c r="L84" s="63" t="n">
        <x:f>H84-I84-J84+K84</x:f>
        <x:v>-87</x:v>
      </x:c>
      <x:c r="M84" s="64" t="n">
        <x:v>38266</x:v>
      </x:c>
      <x:c r="N84" s="64" t="n">
        <x:v>38497</x:v>
      </x:c>
    </x:row>
    <x:row r="85" ht="22" customHeight="1">
      <x:c r="A85" s="60" t="n">
        <x:v>76</x:v>
      </x:c>
      <x:c r="B85" s="61" t="str">
        <x:v>8212</x:v>
      </x:c>
      <x:c r="C85" s="62" t="str">
        <x:v>ITARO-P-08212</x:v>
      </x:c>
      <x:c r="D85" s="65" t="str">
        <x:v>送料 関西中国地方 1件</x:v>
      </x:c>
      <x:c r="E85" s="62" t="str">
        <x:v>物品</x:v>
      </x:c>
      <x:c r="F85" s="61" t="str">
        <x:v>421</x:v>
      </x:c>
      <x:c r="G85" s="65" t="str">
        <x:v>初期詳細名</x:v>
      </x:c>
      <x:c r="H85" s="63" t="n">
        <x:v>0</x:v>
      </x:c>
      <x:c r="I85" s="63" t="n">
        <x:v>0</x:v>
      </x:c>
      <x:c r="J85" s="63" t="n">
        <x:v>1698</x:v>
      </x:c>
      <x:c r="K85" s="63" t="n">
        <x:v>0</x:v>
      </x:c>
      <x:c r="L85" s="63" t="n">
        <x:f>H85-I85-J85+K85</x:f>
        <x:v>-1698</x:v>
      </x:c>
      <x:c r="M85" s="64" t="n">
        <x:v>38295</x:v>
      </x:c>
      <x:c r="N85" s="64" t="n">
        <x:v>46226</x:v>
      </x:c>
    </x:row>
    <x:row r="86" ht="22" customHeight="1">
      <x:c r="A86" s="60" t="n">
        <x:v>77</x:v>
      </x:c>
      <x:c r="B86" s="61" t="str">
        <x:v>8213</x:v>
      </x:c>
      <x:c r="C86" s="62" t="str">
        <x:v>ITARO-P-08213</x:v>
      </x:c>
      <x:c r="D86" s="65" t="str">
        <x:v>送料 九州地方 1件</x:v>
      </x:c>
      <x:c r="E86" s="62" t="str">
        <x:v>物品</x:v>
      </x:c>
      <x:c r="F86" s="61" t="str">
        <x:v>418</x:v>
      </x:c>
      <x:c r="G86" s="65" t="str">
        <x:v>初期詳細名</x:v>
      </x:c>
      <x:c r="H86" s="63" t="n">
        <x:v>0</x:v>
      </x:c>
      <x:c r="I86" s="63" t="n">
        <x:v>0</x:v>
      </x:c>
      <x:c r="J86" s="63" t="n">
        <x:v>7</x:v>
      </x:c>
      <x:c r="K86" s="63" t="n">
        <x:v>0</x:v>
      </x:c>
      <x:c r="L86" s="63" t="n">
        <x:f>H86-I86-J86+K86</x:f>
        <x:v>-7</x:v>
      </x:c>
      <x:c r="M86" s="64" t="n">
        <x:v>38320</x:v>
      </x:c>
      <x:c r="N86" s="64" t="n">
        <x:v>38455</x:v>
      </x:c>
    </x:row>
    <x:row r="87" ht="22" customHeight="1">
      <x:c r="A87" s="60" t="n">
        <x:v>78</x:v>
      </x:c>
      <x:c r="B87" s="61" t="str">
        <x:v>8213</x:v>
      </x:c>
      <x:c r="C87" s="62" t="str">
        <x:v>ITARO-P-08213</x:v>
      </x:c>
      <x:c r="D87" s="65" t="str">
        <x:v>送料 九州地方 1件</x:v>
      </x:c>
      <x:c r="E87" s="62" t="str">
        <x:v>物品</x:v>
      </x:c>
      <x:c r="F87" s="61" t="str">
        <x:v>422</x:v>
      </x:c>
      <x:c r="G87" s="65" t="str">
        <x:v>初期詳細名</x:v>
      </x:c>
      <x:c r="H87" s="63" t="n">
        <x:v>0</x:v>
      </x:c>
      <x:c r="I87" s="63" t="n">
        <x:v>0</x:v>
      </x:c>
      <x:c r="J87" s="63" t="n">
        <x:v>266</x:v>
      </x:c>
      <x:c r="K87" s="63" t="n">
        <x:v>0</x:v>
      </x:c>
      <x:c r="L87" s="63" t="n">
        <x:f>H87-I87-J87+K87</x:f>
        <x:v>-266</x:v>
      </x:c>
      <x:c r="M87" s="64" t="n">
        <x:v>38343</x:v>
      </x:c>
      <x:c r="N87" s="64" t="n">
        <x:v>46212</x:v>
      </x:c>
    </x:row>
    <x:row r="88" ht="22" customHeight="1">
      <x:c r="A88" s="60" t="n">
        <x:v>79</x:v>
      </x:c>
      <x:c r="B88" s="61" t="str">
        <x:v>8214</x:v>
      </x:c>
      <x:c r="C88" s="62" t="str">
        <x:v>ITARO-P-08214</x:v>
      </x:c>
      <x:c r="D88" s="65" t="str">
        <x:v>送料 中部北陸地方 1件</x:v>
      </x:c>
      <x:c r="E88" s="62" t="str">
        <x:v>物品</x:v>
      </x:c>
      <x:c r="F88" s="61" t="str">
        <x:v>419</x:v>
      </x:c>
      <x:c r="G88" s="65" t="str">
        <x:v>初期詳細名</x:v>
      </x:c>
      <x:c r="H88" s="63" t="n">
        <x:v>0</x:v>
      </x:c>
      <x:c r="I88" s="63" t="n">
        <x:v>0</x:v>
      </x:c>
      <x:c r="J88" s="63" t="n">
        <x:v>15</x:v>
      </x:c>
      <x:c r="K88" s="63" t="n">
        <x:v>0</x:v>
      </x:c>
      <x:c r="L88" s="63" t="n">
        <x:f>H88-I88-J88+K88</x:f>
        <x:v>-15</x:v>
      </x:c>
      <x:c r="M88" s="64" t="n">
        <x:v>38264</x:v>
      </x:c>
      <x:c r="N88" s="64" t="n">
        <x:v>38482</x:v>
      </x:c>
    </x:row>
    <x:row r="89" ht="22" customHeight="1">
      <x:c r="A89" s="60" t="n">
        <x:v>80</x:v>
      </x:c>
      <x:c r="B89" s="61" t="str">
        <x:v>8214</x:v>
      </x:c>
      <x:c r="C89" s="62" t="str">
        <x:v>ITARO-P-08214</x:v>
      </x:c>
      <x:c r="D89" s="65" t="str">
        <x:v>送料 中部北陸地方 1件</x:v>
      </x:c>
      <x:c r="E89" s="62" t="str">
        <x:v>物品</x:v>
      </x:c>
      <x:c r="F89" s="61" t="str">
        <x:v>423</x:v>
      </x:c>
      <x:c r="G89" s="65" t="str">
        <x:v>初期詳細名</x:v>
      </x:c>
      <x:c r="H89" s="63" t="n">
        <x:v>0</x:v>
      </x:c>
      <x:c r="I89" s="63" t="n">
        <x:v>0</x:v>
      </x:c>
      <x:c r="J89" s="63" t="n">
        <x:v>495</x:v>
      </x:c>
      <x:c r="K89" s="63" t="n">
        <x:v>0</x:v>
      </x:c>
      <x:c r="L89" s="63" t="n">
        <x:f>H89-I89-J89+K89</x:f>
        <x:v>-495</x:v>
      </x:c>
      <x:c r="M89" s="64" t="n">
        <x:v>38327</x:v>
      </x:c>
      <x:c r="N89" s="64" t="n">
        <x:v>46191</x:v>
      </x:c>
    </x:row>
    <x:row r="90" ht="22" customHeight="1">
      <x:c r="A90" s="60" t="n">
        <x:v>81</x:v>
      </x:c>
      <x:c r="B90" s="61" t="str">
        <x:v>8215</x:v>
      </x:c>
      <x:c r="C90" s="62" t="str">
        <x:v>ITARO-P-08215</x:v>
      </x:c>
      <x:c r="D90" s="65" t="str">
        <x:v>送料 関東信越地方 1件</x:v>
      </x:c>
      <x:c r="E90" s="62" t="str">
        <x:v>物品</x:v>
      </x:c>
      <x:c r="F90" s="61" t="str">
        <x:v>420</x:v>
      </x:c>
      <x:c r="G90" s="65" t="str">
        <x:v>初期詳細名</x:v>
      </x:c>
      <x:c r="H90" s="63" t="n">
        <x:v>0</x:v>
      </x:c>
      <x:c r="I90" s="63" t="n">
        <x:v>0</x:v>
      </x:c>
      <x:c r="J90" s="63" t="n">
        <x:v>36</x:v>
      </x:c>
      <x:c r="K90" s="63" t="n">
        <x:v>0</x:v>
      </x:c>
      <x:c r="L90" s="63" t="n">
        <x:f>H90-I90-J90+K90</x:f>
        <x:v>-36</x:v>
      </x:c>
      <x:c r="M90" s="64" t="n">
        <x:v>38307</x:v>
      </x:c>
      <x:c r="N90" s="64" t="n">
        <x:v>38489</x:v>
      </x:c>
    </x:row>
    <x:row r="91" ht="22" customHeight="1">
      <x:c r="A91" s="60" t="n">
        <x:v>82</x:v>
      </x:c>
      <x:c r="B91" s="61" t="str">
        <x:v>8215</x:v>
      </x:c>
      <x:c r="C91" s="62" t="str">
        <x:v>ITARO-P-08215</x:v>
      </x:c>
      <x:c r="D91" s="65" t="str">
        <x:v>送料 関東信越地方 1件</x:v>
      </x:c>
      <x:c r="E91" s="62" t="str">
        <x:v>物品</x:v>
      </x:c>
      <x:c r="F91" s="61" t="str">
        <x:v>424</x:v>
      </x:c>
      <x:c r="G91" s="65" t="str">
        <x:v>初期詳細名</x:v>
      </x:c>
      <x:c r="H91" s="63" t="n">
        <x:v>0</x:v>
      </x:c>
      <x:c r="I91" s="63" t="n">
        <x:v>0</x:v>
      </x:c>
      <x:c r="J91" s="63" t="n">
        <x:v>1786</x:v>
      </x:c>
      <x:c r="K91" s="63" t="n">
        <x:v>1</x:v>
      </x:c>
      <x:c r="L91" s="63" t="n">
        <x:f>H91-I91-J91+K91</x:f>
        <x:v>-1785</x:v>
      </x:c>
      <x:c r="M91" s="64" t="n">
        <x:v>38275</x:v>
      </x:c>
      <x:c r="N91" s="64" t="n">
        <x:v>46232</x:v>
      </x:c>
    </x:row>
    <x:row r="92" ht="22" customHeight="1">
      <x:c r="A92" s="60" t="n">
        <x:v>83</x:v>
      </x:c>
      <x:c r="B92" s="61" t="str">
        <x:v>8216</x:v>
      </x:c>
      <x:c r="C92" s="62" t="str">
        <x:v>ITARO-P-08216</x:v>
      </x:c>
      <x:c r="D92" s="65" t="str">
        <x:v>送料 東北地方 1件</x:v>
      </x:c>
      <x:c r="E92" s="62" t="str">
        <x:v>物品</x:v>
      </x:c>
      <x:c r="F92" s="61" t="str">
        <x:v>421</x:v>
      </x:c>
      <x:c r="G92" s="65" t="str">
        <x:v>初期詳細名</x:v>
      </x:c>
      <x:c r="H92" s="63" t="n">
        <x:v>0</x:v>
      </x:c>
      <x:c r="I92" s="63" t="n">
        <x:v>0</x:v>
      </x:c>
      <x:c r="J92" s="63" t="n">
        <x:v>3</x:v>
      </x:c>
      <x:c r="K92" s="63" t="n">
        <x:v>0</x:v>
      </x:c>
      <x:c r="L92" s="63" t="n">
        <x:f>H92-I92-J92+K92</x:f>
        <x:v>-3</x:v>
      </x:c>
      <x:c r="M92" s="64" t="n">
        <x:v>38341</x:v>
      </x:c>
      <x:c r="N92" s="64" t="n">
        <x:v>38483</x:v>
      </x:c>
    </x:row>
    <x:row r="93" ht="22" customHeight="1">
      <x:c r="A93" s="60" t="n">
        <x:v>84</x:v>
      </x:c>
      <x:c r="B93" s="61" t="str">
        <x:v>8216</x:v>
      </x:c>
      <x:c r="C93" s="62" t="str">
        <x:v>ITARO-P-08216</x:v>
      </x:c>
      <x:c r="D93" s="65" t="str">
        <x:v>送料 東北地方 1件</x:v>
      </x:c>
      <x:c r="E93" s="62" t="str">
        <x:v>物品</x:v>
      </x:c>
      <x:c r="F93" s="61" t="str">
        <x:v>425</x:v>
      </x:c>
      <x:c r="G93" s="65" t="str">
        <x:v>初期詳細名</x:v>
      </x:c>
      <x:c r="H93" s="63" t="n">
        <x:v>0</x:v>
      </x:c>
      <x:c r="I93" s="63" t="n">
        <x:v>0</x:v>
      </x:c>
      <x:c r="J93" s="63" t="n">
        <x:v>97</x:v>
      </x:c>
      <x:c r="K93" s="63" t="n">
        <x:v>0</x:v>
      </x:c>
      <x:c r="L93" s="63" t="n">
        <x:f>H93-I93-J93+K93</x:f>
        <x:v>-97</x:v>
      </x:c>
      <x:c r="M93" s="64" t="n">
        <x:v>38338</x:v>
      </x:c>
      <x:c r="N93" s="64" t="n">
        <x:v>46188</x:v>
      </x:c>
    </x:row>
    <x:row r="94" ht="22" customHeight="1">
      <x:c r="A94" s="60" t="n">
        <x:v>85</x:v>
      </x:c>
      <x:c r="B94" s="61" t="str">
        <x:v>8217</x:v>
      </x:c>
      <x:c r="C94" s="62" t="str">
        <x:v>ITARO-P-08217</x:v>
      </x:c>
      <x:c r="D94" s="65" t="str">
        <x:v>送料 北海道地方 1件</x:v>
      </x:c>
      <x:c r="E94" s="62" t="str">
        <x:v>物品</x:v>
      </x:c>
      <x:c r="F94" s="61" t="str">
        <x:v>422</x:v>
      </x:c>
      <x:c r="G94" s="65" t="str">
        <x:v>初期詳細名</x:v>
      </x:c>
      <x:c r="H94" s="63" t="n">
        <x:v>0</x:v>
      </x:c>
      <x:c r="I94" s="63" t="n">
        <x:v>0</x:v>
      </x:c>
      <x:c r="J94" s="63" t="n">
        <x:v>6</x:v>
      </x:c>
      <x:c r="K94" s="63" t="n">
        <x:v>0</x:v>
      </x:c>
      <x:c r="L94" s="63" t="n">
        <x:f>H94-I94-J94+K94</x:f>
        <x:v>-6</x:v>
      </x:c>
      <x:c r="M94" s="64" t="n">
        <x:v>38330</x:v>
      </x:c>
      <x:c r="N94" s="64" t="n">
        <x:v>38356</x:v>
      </x:c>
    </x:row>
    <x:row r="95" ht="22" customHeight="1">
      <x:c r="A95" s="60" t="n">
        <x:v>86</x:v>
      </x:c>
      <x:c r="B95" s="61" t="str">
        <x:v>8217</x:v>
      </x:c>
      <x:c r="C95" s="62" t="str">
        <x:v>ITARO-P-08217</x:v>
      </x:c>
      <x:c r="D95" s="65" t="str">
        <x:v>送料 北海道地方 1件</x:v>
      </x:c>
      <x:c r="E95" s="62" t="str">
        <x:v>物品</x:v>
      </x:c>
      <x:c r="F95" s="61" t="str">
        <x:v>426</x:v>
      </x:c>
      <x:c r="G95" s="65" t="str">
        <x:v>初期詳細名</x:v>
      </x:c>
      <x:c r="H95" s="63" t="n">
        <x:v>0</x:v>
      </x:c>
      <x:c r="I95" s="63" t="n">
        <x:v>0</x:v>
      </x:c>
      <x:c r="J95" s="63" t="n">
        <x:v>148</x:v>
      </x:c>
      <x:c r="K95" s="63" t="n">
        <x:v>0</x:v>
      </x:c>
      <x:c r="L95" s="63" t="n">
        <x:f>H95-I95-J95+K95</x:f>
        <x:v>-148</x:v>
      </x:c>
      <x:c r="M95" s="64" t="n">
        <x:v>38330</x:v>
      </x:c>
      <x:c r="N95" s="64" t="n">
        <x:v>46230</x:v>
      </x:c>
    </x:row>
    <x:row r="96" ht="22" customHeight="1">
      <x:c r="A96" s="60" t="n">
        <x:v>87</x:v>
      </x:c>
      <x:c r="B96" s="61" t="str">
        <x:v>8218</x:v>
      </x:c>
      <x:c r="C96" s="62" t="str">
        <x:v>ITARO-P-08218</x:v>
      </x:c>
      <x:c r="D96" s="65" t="str">
        <x:v>送料 500円 1件</x:v>
      </x:c>
      <x:c r="E96" s="62" t="str">
        <x:v>物品</x:v>
      </x:c>
      <x:c r="F96" s="61" t="str">
        <x:v>521</x:v>
      </x:c>
      <x:c r="G96" s="65" t="str">
        <x:v>初期詳細名</x:v>
      </x:c>
      <x:c r="H96" s="63" t="n">
        <x:v>0</x:v>
      </x:c>
      <x:c r="I96" s="63" t="n">
        <x:v>0</x:v>
      </x:c>
      <x:c r="J96" s="63" t="n">
        <x:v>178</x:v>
      </x:c>
      <x:c r="K96" s="63" t="n">
        <x:v>0</x:v>
      </x:c>
      <x:c r="L96" s="63" t="n">
        <x:f>H96-I96-J96+K96</x:f>
        <x:v>-178</x:v>
      </x:c>
      <x:c r="M96" s="64" t="n">
        <x:v>38806</x:v>
      </x:c>
      <x:c r="N96" s="64" t="n">
        <x:v>43509</x:v>
      </x:c>
    </x:row>
    <x:row r="97" ht="22" customHeight="1">
      <x:c r="A97" s="60" t="n">
        <x:v>88</x:v>
      </x:c>
      <x:c r="B97" s="61" t="str">
        <x:v>8219</x:v>
      </x:c>
      <x:c r="C97" s="62" t="str">
        <x:v>ITARO-P-08219</x:v>
      </x:c>
      <x:c r="D97" s="65" t="str">
        <x:v>送料 沖縄地方 1件</x:v>
      </x:c>
      <x:c r="E97" s="62" t="str">
        <x:v>物品</x:v>
      </x:c>
      <x:c r="F97" s="61" t="str">
        <x:v>560</x:v>
      </x:c>
      <x:c r="G97" s="65" t="str">
        <x:v>初期詳細名</x:v>
      </x:c>
      <x:c r="H97" s="63" t="n">
        <x:v>0</x:v>
      </x:c>
      <x:c r="I97" s="63" t="n">
        <x:v>0</x:v>
      </x:c>
      <x:c r="J97" s="63" t="n">
        <x:v>8</x:v>
      </x:c>
      <x:c r="K97" s="63" t="n">
        <x:v>0</x:v>
      </x:c>
      <x:c r="L97" s="63" t="n">
        <x:f>H97-I97-J97+K97</x:f>
        <x:v>-8</x:v>
      </x:c>
      <x:c r="M97" s="64" t="n">
        <x:v>40030</x:v>
      </x:c>
      <x:c r="N97" s="64" t="n">
        <x:v>45989</x:v>
      </x:c>
    </x:row>
    <x:row r="98" ht="22" customHeight="1">
      <x:c r="A98" s="60" t="n">
        <x:v>89</x:v>
      </x:c>
      <x:c r="B98" s="61" t="str">
        <x:v>8220</x:v>
      </x:c>
      <x:c r="C98" s="62" t="str">
        <x:v>ITARO-P-08220</x:v>
      </x:c>
      <x:c r="D98" s="65" t="str">
        <x:v>送料 クール料金 1件</x:v>
      </x:c>
      <x:c r="E98" s="62" t="str">
        <x:v>物品</x:v>
      </x:c>
      <x:c r="F98" s="61" t="str">
        <x:v>1037</x:v>
      </x:c>
      <x:c r="G98" s="65" t="str">
        <x:v>初期詳細名</x:v>
      </x:c>
      <x:c r="H98" s="63" t="n">
        <x:v>0</x:v>
      </x:c>
      <x:c r="I98" s="63" t="n">
        <x:v>0</x:v>
      </x:c>
      <x:c r="J98" s="63" t="n">
        <x:v>55</x:v>
      </x:c>
      <x:c r="K98" s="63" t="n">
        <x:v>0</x:v>
      </x:c>
      <x:c r="L98" s="63" t="n">
        <x:f>H98-I98-J98+K98</x:f>
        <x:v>-55</x:v>
      </x:c>
      <x:c r="M98" s="64" t="n">
        <x:v>42970</x:v>
      </x:c>
      <x:c r="N98" s="64" t="n">
        <x:v>46224</x:v>
      </x:c>
    </x:row>
    <x:row r="99" ht="22" customHeight="1">
      <x:c r="A99" s="60" t="n">
        <x:v>90</x:v>
      </x:c>
      <x:c r="B99" s="61" t="str">
        <x:v>8221</x:v>
      </x:c>
      <x:c r="C99" s="62" t="str">
        <x:v>ITARO-P-08221</x:v>
      </x:c>
      <x:c r="D99" s="65" t="str">
        <x:v>送料800円 1件</x:v>
      </x:c>
      <x:c r="E99" s="62" t="str">
        <x:v>物品</x:v>
      </x:c>
      <x:c r="F99" s="61" t="str">
        <x:v>1100</x:v>
      </x:c>
      <x:c r="G99" s="65" t="str">
        <x:v>初期詳細名</x:v>
      </x:c>
      <x:c r="H99" s="63" t="n">
        <x:v>0</x:v>
      </x:c>
      <x:c r="I99" s="63" t="n">
        <x:v>0</x:v>
      </x:c>
      <x:c r="J99" s="63" t="n">
        <x:v>1</x:v>
      </x:c>
      <x:c r="K99" s="63" t="n">
        <x:v>0</x:v>
      </x:c>
      <x:c r="L99" s="63" t="n">
        <x:f>H99-I99-J99+K99</x:f>
        <x:v>-1</x:v>
      </x:c>
      <x:c r="M99" s="64" t="n">
        <x:v>44151</x:v>
      </x:c>
      <x:c r="N99" s="64" t="n">
        <x:v>44151</x:v>
      </x:c>
    </x:row>
    <x:row r="100" ht="22" customHeight="1">
      <x:c r="A100" s="60" t="n">
        <x:v>91</x:v>
      </x:c>
      <x:c r="B100" s="61" t="str">
        <x:v>8250</x:v>
      </x:c>
      <x:c r="C100" s="62" t="str">
        <x:v>ITARO-P-08250</x:v>
      </x:c>
      <x:c r="D100" s="65" t="str">
        <x:v>送料 代引料 1件</x:v>
      </x:c>
      <x:c r="E100" s="62" t="str">
        <x:v>物品</x:v>
      </x:c>
      <x:c r="F100" s="61" t="str">
        <x:v>522</x:v>
      </x:c>
      <x:c r="G100" s="65" t="str">
        <x:v>初期詳細名</x:v>
      </x:c>
      <x:c r="H100" s="63" t="n">
        <x:v>0</x:v>
      </x:c>
      <x:c r="I100" s="63" t="n">
        <x:v>0</x:v>
      </x:c>
      <x:c r="J100" s="63" t="n">
        <x:v>22</x:v>
      </x:c>
      <x:c r="K100" s="63" t="n">
        <x:v>0</x:v>
      </x:c>
      <x:c r="L100" s="63" t="n">
        <x:f>H100-I100-J100+K100</x:f>
        <x:v>-22</x:v>
      </x:c>
      <x:c r="M100" s="64" t="n">
        <x:v>38806</x:v>
      </x:c>
      <x:c r="N100" s="64" t="n">
        <x:v>41732</x:v>
      </x:c>
    </x:row>
    <x:row r="101" ht="22" customHeight="1">
      <x:c r="A101" s="60" t="n">
        <x:v>92</x:v>
      </x:c>
      <x:c r="B101" s="61" t="str">
        <x:v>8840</x:v>
      </x:c>
      <x:c r="C101" s="62" t="str">
        <x:v>ITARO-P-08840</x:v>
      </x:c>
      <x:c r="D101" s="65" t="str">
        <x:v>鏡開き用 72L樽 貸し料 72L</x:v>
      </x:c>
      <x:c r="E101" s="62" t="str">
        <x:v>物品</x:v>
      </x:c>
      <x:c r="F101" s="61" t="str">
        <x:v>377</x:v>
      </x:c>
      <x:c r="G101" s="65" t="str">
        <x:v>初期詳細名</x:v>
      </x:c>
      <x:c r="H101" s="63" t="n">
        <x:v>0</x:v>
      </x:c>
      <x:c r="I101" s="63" t="n">
        <x:v>0</x:v>
      </x:c>
      <x:c r="J101" s="63" t="n">
        <x:v>72</x:v>
      </x:c>
      <x:c r="K101" s="63" t="n">
        <x:v>0</x:v>
      </x:c>
      <x:c r="L101" s="63" t="n">
        <x:f>H101-I101-J101+K101</x:f>
        <x:v>-72</x:v>
      </x:c>
      <x:c r="M101" s="64" t="n">
        <x:v>38189</x:v>
      </x:c>
      <x:c r="N101" s="64" t="n">
        <x:v>46068</x:v>
      </x:c>
    </x:row>
    <x:row r="102" ht="22" customHeight="1">
      <x:c r="A102" s="60" t="n">
        <x:v>93</x:v>
      </x:c>
      <x:c r="B102" s="61" t="str">
        <x:v>8841</x:v>
      </x:c>
      <x:c r="C102" s="62" t="str">
        <x:v>ITARO-P-08841</x:v>
      </x:c>
      <x:c r="D102" s="65" t="str">
        <x:v>鏡開き用 ひしゃく料 1本</x:v>
      </x:c>
      <x:c r="E102" s="62" t="str">
        <x:v>物品</x:v>
      </x:c>
      <x:c r="F102" s="61" t="str">
        <x:v>378</x:v>
      </x:c>
      <x:c r="G102" s="65" t="str">
        <x:v>初期詳細名</x:v>
      </x:c>
      <x:c r="H102" s="63" t="n">
        <x:v>0</x:v>
      </x:c>
      <x:c r="I102" s="63" t="n">
        <x:v>0</x:v>
      </x:c>
      <x:c r="J102" s="63" t="n">
        <x:v>86</x:v>
      </x:c>
      <x:c r="K102" s="63" t="n">
        <x:v>4</x:v>
      </x:c>
      <x:c r="L102" s="63" t="n">
        <x:f>H102-I102-J102+K102</x:f>
        <x:v>-82</x:v>
      </x:c>
      <x:c r="M102" s="64" t="n">
        <x:v>38189</x:v>
      </x:c>
      <x:c r="N102" s="64" t="n">
        <x:v>46031</x:v>
      </x:c>
    </x:row>
    <x:row r="103" ht="22" customHeight="1">
      <x:c r="A103" s="60" t="n">
        <x:v>94</x:v>
      </x:c>
      <x:c r="B103" s="61" t="str">
        <x:v>8842</x:v>
      </x:c>
      <x:c r="C103" s="62" t="str">
        <x:v>ITARO-P-08842</x:v>
      </x:c>
      <x:c r="D103" s="65" t="str">
        <x:v>鏡開き用 升 1個</x:v>
      </x:c>
      <x:c r="E103" s="62" t="str">
        <x:v>物品</x:v>
      </x:c>
      <x:c r="F103" s="61" t="str">
        <x:v>379</x:v>
      </x:c>
      <x:c r="G103" s="65" t="str">
        <x:v>初期詳細名</x:v>
      </x:c>
      <x:c r="H103" s="63" t="n">
        <x:v>0</x:v>
      </x:c>
      <x:c r="I103" s="63" t="n">
        <x:v>0</x:v>
      </x:c>
      <x:c r="J103" s="63" t="n">
        <x:v>2526</x:v>
      </x:c>
      <x:c r="K103" s="63" t="n">
        <x:v>0</x:v>
      </x:c>
      <x:c r="L103" s="63" t="n">
        <x:f>H103-I103-J103+K103</x:f>
        <x:v>-2526</x:v>
      </x:c>
      <x:c r="M103" s="64" t="n">
        <x:v>38189</x:v>
      </x:c>
      <x:c r="N103" s="64" t="n">
        <x:v>46206</x:v>
      </x:c>
    </x:row>
    <x:row r="104" ht="22" customHeight="1">
      <x:c r="A104" s="60" t="n">
        <x:v>95</x:v>
      </x:c>
      <x:c r="B104" s="61" t="str">
        <x:v>8888</x:v>
      </x:c>
      <x:c r="C104" s="62" t="str">
        <x:v>ITARO-P-08888</x:v>
      </x:c>
      <x:c r="D104" s="65" t="str">
        <x:v>その他</x:v>
      </x:c>
      <x:c r="E104" s="62" t="str">
        <x:v>物品</x:v>
      </x:c>
      <x:c r="F104" s="61" t="str">
        <x:v>380</x:v>
      </x:c>
      <x:c r="G104" s="65" t="str">
        <x:v>初期詳細名</x:v>
      </x:c>
      <x:c r="H104" s="63" t="n">
        <x:v>0</x:v>
      </x:c>
      <x:c r="I104" s="63" t="n">
        <x:v>0</x:v>
      </x:c>
      <x:c r="J104" s="63" t="n">
        <x:v>44471</x:v>
      </x:c>
      <x:c r="K104" s="63" t="n">
        <x:v>316</x:v>
      </x:c>
      <x:c r="L104" s="63" t="n">
        <x:f>H104-I104-J104+K104</x:f>
        <x:v>-44155</x:v>
      </x:c>
      <x:c r="M104" s="64" t="n">
        <x:v>38139</x:v>
      </x:c>
      <x:c r="N104" s="64" t="n">
        <x:v>46206</x:v>
      </x:c>
    </x:row>
    <x:row r="105" ht="22" customHeight="1">
      <x:c r="A105" s="60" t="n">
        <x:v>96</x:v>
      </x:c>
      <x:c r="B105" s="61" t="str">
        <x:v>8902</x:v>
      </x:c>
      <x:c r="C105" s="62" t="str">
        <x:v>ITARO-P-08902</x:v>
      </x:c>
      <x:c r="D105" s="65" t="str">
        <x:v>保証料 72L樽 1L</x:v>
      </x:c>
      <x:c r="E105" s="62" t="str">
        <x:v>物品</x:v>
      </x:c>
      <x:c r="F105" s="61" t="str">
        <x:v>383</x:v>
      </x:c>
      <x:c r="G105" s="65" t="str">
        <x:v>初期詳細名</x:v>
      </x:c>
      <x:c r="H105" s="63" t="n">
        <x:v>0</x:v>
      </x:c>
      <x:c r="I105" s="63" t="n">
        <x:v>0</x:v>
      </x:c>
      <x:c r="J105" s="63" t="n">
        <x:v>52</x:v>
      </x:c>
      <x:c r="K105" s="63" t="n">
        <x:v>49</x:v>
      </x:c>
      <x:c r="L105" s="63" t="n">
        <x:f>H105-I105-J105+K105</x:f>
        <x:v>-3</x:v>
      </x:c>
      <x:c r="M105" s="64" t="n">
        <x:v>38189</x:v>
      </x:c>
      <x:c r="N105" s="64" t="n">
        <x:v>45908</x:v>
      </x:c>
    </x:row>
    <x:row r="106" ht="22" customHeight="1">
      <x:c r="A106" s="60" t="n">
        <x:v>97</x:v>
      </x:c>
      <x:c r="B106" s="61" t="str">
        <x:v>8903</x:v>
      </x:c>
      <x:c r="C106" s="62" t="str">
        <x:v>ITARO-P-08903</x:v>
      </x:c>
      <x:c r="D106" s="65" t="str">
        <x:v>保証料 槌 1本</x:v>
      </x:c>
      <x:c r="E106" s="62" t="str">
        <x:v>物品</x:v>
      </x:c>
      <x:c r="F106" s="61" t="str">
        <x:v>384</x:v>
      </x:c>
      <x:c r="G106" s="65" t="str">
        <x:v>初期詳細名</x:v>
      </x:c>
      <x:c r="H106" s="63" t="n">
        <x:v>0</x:v>
      </x:c>
      <x:c r="I106" s="63" t="n">
        <x:v>0</x:v>
      </x:c>
      <x:c r="J106" s="63" t="n">
        <x:v>259</x:v>
      </x:c>
      <x:c r="K106" s="63" t="n">
        <x:v>239</x:v>
      </x:c>
      <x:c r="L106" s="63" t="n">
        <x:f>H106-I106-J106+K106</x:f>
        <x:v>-20</x:v>
      </x:c>
      <x:c r="M106" s="64" t="n">
        <x:v>38189</x:v>
      </x:c>
      <x:c r="N106" s="64" t="n">
        <x:v>45716</x:v>
      </x:c>
    </x:row>
    <x:row r="107" ht="22" customHeight="1">
      <x:c r="A107" s="60" t="n">
        <x:v>98</x:v>
      </x:c>
      <x:c r="B107" s="61" t="str">
        <x:v>8904</x:v>
      </x:c>
      <x:c r="C107" s="62" t="str">
        <x:v>ITARO-P-08904</x:v>
      </x:c>
      <x:c r="D107" s="65" t="str">
        <x:v>保証料 樽蓋 1枚</x:v>
      </x:c>
      <x:c r="E107" s="62" t="str">
        <x:v>物品</x:v>
      </x:c>
      <x:c r="F107" s="61" t="str">
        <x:v>385</x:v>
      </x:c>
      <x:c r="G107" s="65" t="str">
        <x:v>初期詳細名</x:v>
      </x:c>
      <x:c r="H107" s="63" t="n">
        <x:v>0</x:v>
      </x:c>
      <x:c r="I107" s="63" t="n">
        <x:v>0</x:v>
      </x:c>
      <x:c r="J107" s="63" t="n">
        <x:v>53</x:v>
      </x:c>
      <x:c r="K107" s="63" t="n">
        <x:v>46</x:v>
      </x:c>
      <x:c r="L107" s="63" t="n">
        <x:f>H107-I107-J107+K107</x:f>
        <x:v>-7</x:v>
      </x:c>
      <x:c r="M107" s="64" t="n">
        <x:v>38189</x:v>
      </x:c>
      <x:c r="N107" s="64" t="n">
        <x:v>45908</x:v>
      </x:c>
    </x:row>
    <x:row r="108" ht="22" customHeight="1">
      <x:c r="A108" s="60" t="n">
        <x:v>99</x:v>
      </x:c>
      <x:c r="B108" s="61" t="str">
        <x:v>8910</x:v>
      </x:c>
      <x:c r="C108" s="62" t="str">
        <x:v>ITARO-P-08910</x:v>
      </x:c>
      <x:c r="D108" s="65" t="str">
        <x:v>Pケース 保証料 1ケース</x:v>
      </x:c>
      <x:c r="E108" s="62" t="str">
        <x:v>物品</x:v>
      </x:c>
      <x:c r="F108" s="61" t="str">
        <x:v>386</x:v>
      </x:c>
      <x:c r="G108" s="65" t="str">
        <x:v>初期詳細名</x:v>
      </x:c>
      <x:c r="H108" s="63" t="n">
        <x:v>0</x:v>
      </x:c>
      <x:c r="I108" s="63" t="n">
        <x:v>0</x:v>
      </x:c>
      <x:c r="J108" s="63" t="n">
        <x:v>15</x:v>
      </x:c>
      <x:c r="K108" s="63" t="n">
        <x:v>0</x:v>
      </x:c>
      <x:c r="L108" s="63" t="n">
        <x:f>H108-I108-J108+K108</x:f>
        <x:v>-15</x:v>
      </x:c>
      <x:c r="M108" s="64" t="n">
        <x:v>39365</x:v>
      </x:c>
      <x:c r="N108" s="64" t="n">
        <x:v>39365</x:v>
      </x:c>
    </x:row>
    <x:row r="109" ht="22" customHeight="1">
      <x:c r="A109" s="60" t="n">
        <x:v>100</x:v>
      </x:c>
      <x:c r="B109" s="61" t="str">
        <x:v>8915</x:v>
      </x:c>
      <x:c r="C109" s="62" t="str">
        <x:v>ITARO-P-08915</x:v>
      </x:c>
      <x:c r="D109" s="65" t="str">
        <x:v>Pケース 手数料 1ケース</x:v>
      </x:c>
      <x:c r="E109" s="62" t="str">
        <x:v>物品</x:v>
      </x:c>
      <x:c r="F109" s="61" t="str">
        <x:v>387</x:v>
      </x:c>
      <x:c r="G109" s="65" t="str">
        <x:v>初期詳細名</x:v>
      </x:c>
      <x:c r="H109" s="63" t="n">
        <x:v>0</x:v>
      </x:c>
      <x:c r="I109" s="63" t="n">
        <x:v>0</x:v>
      </x:c>
      <x:c r="J109" s="63" t="n">
        <x:v>85</x:v>
      </x:c>
      <x:c r="K109" s="63" t="n">
        <x:v>0</x:v>
      </x:c>
      <x:c r="L109" s="63" t="n">
        <x:f>H109-I109-J109+K109</x:f>
        <x:v>-85</x:v>
      </x:c>
      <x:c r="M109" s="64" t="n">
        <x:v>39780</x:v>
      </x:c>
      <x:c r="N109" s="64" t="n">
        <x:v>40029</x:v>
      </x:c>
    </x:row>
    <x:row r="110" ht="22" customHeight="1">
      <x:c r="A110" s="60" t="n">
        <x:v>101</x:v>
      </x:c>
      <x:c r="B110" s="61" t="str">
        <x:v>9999</x:v>
      </x:c>
      <x:c r="C110" s="62" t="str">
        <x:v>ITARO-P-09999</x:v>
      </x:c>
      <x:c r="D110" s="65" t="str">
        <x:v>値引 1件</x:v>
      </x:c>
      <x:c r="E110" s="62" t="str">
        <x:v>物品</x:v>
      </x:c>
      <x:c r="F110" s="61" t="str">
        <x:v>389</x:v>
      </x:c>
      <x:c r="G110" s="65" t="str">
        <x:v>初期詳細名</x:v>
      </x:c>
      <x:c r="H110" s="63" t="n">
        <x:v>0</x:v>
      </x:c>
      <x:c r="I110" s="63" t="n">
        <x:v>0</x:v>
      </x:c>
      <x:c r="J110" s="63" t="n">
        <x:v>24075</x:v>
      </x:c>
      <x:c r="K110" s="63" t="n">
        <x:v>122</x:v>
      </x:c>
      <x:c r="L110" s="63" t="n">
        <x:f>H110-I110-J110+K110</x:f>
        <x:v>-23953</x:v>
      </x:c>
      <x:c r="M110" s="64" t="n">
        <x:v>38142</x:v>
      </x:c>
      <x:c r="N110" s="64" t="n">
        <x:v>46231</x:v>
      </x:c>
    </x:row>
    <x:row r="111" ht="22" customHeight="1">
      <x:c r="A111" s="60" t="n">
        <x:v>102</x:v>
      </x:c>
      <x:c r="B111" s="61" t="str">
        <x:v>9999</x:v>
      </x:c>
      <x:c r="C111" s="62" t="str">
        <x:v>ITARO-P-09999</x:v>
      </x:c>
      <x:c r="D111" s="65" t="str">
        <x:v>値引 1件</x:v>
      </x:c>
      <x:c r="E111" s="62" t="str">
        <x:v>物品</x:v>
      </x:c>
      <x:c r="F111" s="61" t="str">
        <x:v>438</x:v>
      </x:c>
      <x:c r="G111" s="65" t="str">
        <x:v>**完了ｼﾌﾄたれR3土.12/29～（ｼﾌﾄ生/朝日R2（後詰のみ→ｼﾌﾄR1土50（30ｂ土55</x:v>
      </x:c>
      <x:c r="H111" s="63" t="n">
        <x:v>0</x:v>
      </x:c>
      <x:c r="I111" s="63" t="n">
        <x:v>0</x:v>
      </x:c>
      <x:c r="J111" s="63" t="n">
        <x:v>12</x:v>
      </x:c>
      <x:c r="K111" s="63" t="n">
        <x:v>0</x:v>
      </x:c>
      <x:c r="L111" s="63" t="n">
        <x:f>H111-I111-J111+K111</x:f>
        <x:v>-12</x:v>
      </x:c>
      <x:c r="M111" s="64" t="n">
        <x:v>39064</x:v>
      </x:c>
      <x:c r="N111" s="64" t="n">
        <x:v>39064</x:v>
      </x:c>
    </x:row>
    <x:row r="112" ht="22" customHeight="1">
      <x:c r="A112" s="60" t="n">
        <x:v>103</x:v>
      </x:c>
      <x:c r="B112" s="61" t="str">
        <x:v>89001</x:v>
      </x:c>
      <x:c r="C112" s="62" t="str">
        <x:v>ITARO-P-89001</x:v>
      </x:c>
      <x:c r="D112" s="65" t="str">
        <x:v>Tシャツ　金黒 L</x:v>
      </x:c>
      <x:c r="E112" s="62" t="str">
        <x:v>物品</x:v>
      </x:c>
      <x:c r="F112" s="61" t="str">
        <x:v>749</x:v>
      </x:c>
      <x:c r="G112" s="65" t="str">
        <x:v>初期詳細名</x:v>
      </x:c>
      <x:c r="H112" s="63" t="n">
        <x:v>0</x:v>
      </x:c>
      <x:c r="I112" s="63" t="n">
        <x:v>0</x:v>
      </x:c>
      <x:c r="J112" s="63" t="n">
        <x:v>123</x:v>
      </x:c>
      <x:c r="K112" s="63" t="n">
        <x:v>0</x:v>
      </x:c>
      <x:c r="L112" s="63" t="n">
        <x:f>H112-I112-J112+K112</x:f>
        <x:v>-123</x:v>
      </x:c>
      <x:c r="M112" s="64" t="n">
        <x:v>40083</x:v>
      </x:c>
      <x:c r="N112" s="64" t="n">
        <x:v>46230</x:v>
      </x:c>
    </x:row>
    <x:row r="113" ht="22" customHeight="1">
      <x:c r="A113" s="60" t="n">
        <x:v>104</x:v>
      </x:c>
      <x:c r="B113" s="61" t="str">
        <x:v>89002</x:v>
      </x:c>
      <x:c r="C113" s="62" t="str">
        <x:v>ITARO-P-89002</x:v>
      </x:c>
      <x:c r="D113" s="65" t="str">
        <x:v>Tシャツ　金黒 M</x:v>
      </x:c>
      <x:c r="E113" s="62" t="str">
        <x:v>物品</x:v>
      </x:c>
      <x:c r="F113" s="61" t="str">
        <x:v>750</x:v>
      </x:c>
      <x:c r="G113" s="65" t="str">
        <x:v>初期詳細名</x:v>
      </x:c>
      <x:c r="H113" s="63" t="n">
        <x:v>0</x:v>
      </x:c>
      <x:c r="I113" s="63" t="n">
        <x:v>0</x:v>
      </x:c>
      <x:c r="J113" s="63" t="n">
        <x:v>31</x:v>
      </x:c>
      <x:c r="K113" s="63" t="n">
        <x:v>0</x:v>
      </x:c>
      <x:c r="L113" s="63" t="n">
        <x:f>H113-I113-J113+K113</x:f>
        <x:v>-31</x:v>
      </x:c>
      <x:c r="M113" s="64" t="n">
        <x:v>40093</x:v>
      </x:c>
      <x:c r="N113" s="64" t="n">
        <x:v>46153</x:v>
      </x:c>
    </x:row>
    <x:row r="114" ht="22" customHeight="1">
      <x:c r="A114" s="60" t="n">
        <x:v>105</x:v>
      </x:c>
      <x:c r="B114" s="61" t="str">
        <x:v>89011</x:v>
      </x:c>
      <x:c r="C114" s="62" t="str">
        <x:v>ITARO-P-89011</x:v>
      </x:c>
      <x:c r="D114" s="65" t="str">
        <x:v>--- L</x:v>
      </x:c>
      <x:c r="E114" s="62" t="str">
        <x:v>物品</x:v>
      </x:c>
      <x:c r="F114" s="61" t="str">
        <x:v>751</x:v>
      </x:c>
      <x:c r="G114" s="65" t="str">
        <x:v>初期詳細名</x:v>
      </x:c>
      <x:c r="H114" s="63" t="n">
        <x:v>0</x:v>
      </x:c>
      <x:c r="I114" s="63" t="n">
        <x:v>0</x:v>
      </x:c>
      <x:c r="J114" s="63" t="n">
        <x:v>62</x:v>
      </x:c>
      <x:c r="K114" s="63" t="n">
        <x:v>1</x:v>
      </x:c>
      <x:c r="L114" s="63" t="n">
        <x:f>H114-I114-J114+K114</x:f>
        <x:v>-61</x:v>
      </x:c>
      <x:c r="M114" s="64" t="n">
        <x:v>40092</x:v>
      </x:c>
      <x:c r="N114" s="64" t="n">
        <x:v>44835</x:v>
      </x:c>
    </x:row>
    <x:row r="115" ht="22" customHeight="1">
      <x:c r="A115" s="60" t="n">
        <x:v>106</x:v>
      </x:c>
      <x:c r="B115" s="61" t="str">
        <x:v>89012</x:v>
      </x:c>
      <x:c r="C115" s="62" t="str">
        <x:v>ITARO-P-89012</x:v>
      </x:c>
      <x:c r="D115" s="65" t="str">
        <x:v>--- M</x:v>
      </x:c>
      <x:c r="E115" s="62" t="str">
        <x:v>物品</x:v>
      </x:c>
      <x:c r="F115" s="61" t="str">
        <x:v>752</x:v>
      </x:c>
      <x:c r="G115" s="65" t="str">
        <x:v>初期詳細名</x:v>
      </x:c>
      <x:c r="H115" s="63" t="n">
        <x:v>0</x:v>
      </x:c>
      <x:c r="I115" s="63" t="n">
        <x:v>0</x:v>
      </x:c>
      <x:c r="J115" s="63" t="n">
        <x:v>16</x:v>
      </x:c>
      <x:c r="K115" s="63" t="n">
        <x:v>0</x:v>
      </x:c>
      <x:c r="L115" s="63" t="n">
        <x:f>H115-I115-J115+K115</x:f>
        <x:v>-16</x:v>
      </x:c>
      <x:c r="M115" s="64" t="n">
        <x:v>40123</x:v>
      </x:c>
      <x:c r="N115" s="64" t="n">
        <x:v>44249</x:v>
      </x:c>
    </x:row>
    <x:row r="116" ht="22" customHeight="1">
      <x:c r="A116" s="60" t="n">
        <x:v>107</x:v>
      </x:c>
      <x:c r="B116" s="61" t="str">
        <x:v>89021</x:v>
      </x:c>
      <x:c r="C116" s="62" t="str">
        <x:v>ITARO-P-89021</x:v>
      </x:c>
      <x:c r="D116" s="65" t="str">
        <x:v>--- L</x:v>
      </x:c>
      <x:c r="E116" s="62" t="str">
        <x:v>物品</x:v>
      </x:c>
      <x:c r="F116" s="61" t="str">
        <x:v>753</x:v>
      </x:c>
      <x:c r="G116" s="65" t="str">
        <x:v>初期詳細名</x:v>
      </x:c>
      <x:c r="H116" s="63" t="n">
        <x:v>0</x:v>
      </x:c>
      <x:c r="I116" s="63" t="n">
        <x:v>0</x:v>
      </x:c>
      <x:c r="J116" s="63" t="n">
        <x:v>8</x:v>
      </x:c>
      <x:c r="K116" s="63" t="n">
        <x:v>0</x:v>
      </x:c>
      <x:c r="L116" s="63" t="n">
        <x:f>H116-I116-J116+K116</x:f>
        <x:v>-8</x:v>
      </x:c>
      <x:c r="M116" s="64" t="n">
        <x:v>40094</x:v>
      </x:c>
      <x:c r="N116" s="64" t="n">
        <x:v>41527</x:v>
      </x:c>
    </x:row>
    <x:row r="117" ht="22" customHeight="1">
      <x:c r="A117" s="60" t="n">
        <x:v>108</x:v>
      </x:c>
      <x:c r="B117" s="61" t="str">
        <x:v>89022</x:v>
      </x:c>
      <x:c r="C117" s="62" t="str">
        <x:v>ITARO-P-89022</x:v>
      </x:c>
      <x:c r="D117" s="65" t="str">
        <x:v>--- M</x:v>
      </x:c>
      <x:c r="E117" s="62" t="str">
        <x:v>物品</x:v>
      </x:c>
      <x:c r="F117" s="61" t="str">
        <x:v>754</x:v>
      </x:c>
      <x:c r="G117" s="65" t="str">
        <x:v>初期詳細名</x:v>
      </x:c>
      <x:c r="H117" s="63" t="n">
        <x:v>0</x:v>
      </x:c>
      <x:c r="I117" s="63" t="n">
        <x:v>0</x:v>
      </x:c>
      <x:c r="J117" s="63" t="n">
        <x:v>5</x:v>
      </x:c>
      <x:c r="K117" s="63" t="n">
        <x:v>0</x:v>
      </x:c>
      <x:c r="L117" s="63" t="n">
        <x:f>H117-I117-J117+K117</x:f>
        <x:v>-5</x:v>
      </x:c>
      <x:c r="M117" s="64" t="n">
        <x:v>40235</x:v>
      </x:c>
      <x:c r="N117" s="64" t="n">
        <x:v>41435</x:v>
      </x:c>
    </x:row>
    <x:row r="118" ht="22" customHeight="1">
      <x:c r="A118" s="60" t="n">
        <x:v>109</x:v>
      </x:c>
      <x:c r="B118" s="61" t="str">
        <x:v>89031</x:v>
      </x:c>
      <x:c r="C118" s="62" t="str">
        <x:v>ITARO-P-89031</x:v>
      </x:c>
      <x:c r="D118" s="65" t="str">
        <x:v>--- L</x:v>
      </x:c>
      <x:c r="E118" s="62" t="str">
        <x:v>物品</x:v>
      </x:c>
      <x:c r="F118" s="61" t="str">
        <x:v>755</x:v>
      </x:c>
      <x:c r="G118" s="65" t="str">
        <x:v>初期詳細名</x:v>
      </x:c>
      <x:c r="H118" s="63" t="n">
        <x:v>0</x:v>
      </x:c>
      <x:c r="I118" s="63" t="n">
        <x:v>0</x:v>
      </x:c>
      <x:c r="J118" s="63" t="n">
        <x:v>30</x:v>
      </x:c>
      <x:c r="K118" s="63" t="n">
        <x:v>2</x:v>
      </x:c>
      <x:c r="L118" s="63" t="n">
        <x:f>H118-I118-J118+K118</x:f>
        <x:v>-28</x:v>
      </x:c>
      <x:c r="M118" s="64" t="n">
        <x:v>40093</x:v>
      </x:c>
      <x:c r="N118" s="64" t="n">
        <x:v>42872</x:v>
      </x:c>
    </x:row>
    <x:row r="119" ht="22" customHeight="1">
      <x:c r="A119" s="60" t="n">
        <x:v>110</x:v>
      </x:c>
      <x:c r="B119" s="61" t="str">
        <x:v>89032</x:v>
      </x:c>
      <x:c r="C119" s="62" t="str">
        <x:v>ITARO-P-89032</x:v>
      </x:c>
      <x:c r="D119" s="65" t="str">
        <x:v>--- M</x:v>
      </x:c>
      <x:c r="E119" s="62" t="str">
        <x:v>物品</x:v>
      </x:c>
      <x:c r="F119" s="61" t="str">
        <x:v>756</x:v>
      </x:c>
      <x:c r="G119" s="65" t="str">
        <x:v>初期詳細名</x:v>
      </x:c>
      <x:c r="H119" s="63" t="n">
        <x:v>0</x:v>
      </x:c>
      <x:c r="I119" s="63" t="n">
        <x:v>0</x:v>
      </x:c>
      <x:c r="J119" s="63" t="n">
        <x:v>15</x:v>
      </x:c>
      <x:c r="K119" s="63" t="n">
        <x:v>0</x:v>
      </x:c>
      <x:c r="L119" s="63" t="n">
        <x:f>H119-I119-J119+K119</x:f>
        <x:v>-15</x:v>
      </x:c>
      <x:c r="M119" s="64" t="n">
        <x:v>40343</x:v>
      </x:c>
      <x:c r="N119" s="64" t="n">
        <x:v>41402</x:v>
      </x:c>
    </x:row>
    <x:row r="120" ht="22" customHeight="1">
      <x:c r="A120" s="60" t="n">
        <x:v>111</x:v>
      </x:c>
      <x:c r="B120" s="61" t="str">
        <x:v>89051</x:v>
      </x:c>
      <x:c r="C120" s="62" t="str">
        <x:v>ITARO-P-89051</x:v>
      </x:c>
      <x:c r="D120" s="65" t="str">
        <x:v>手ぬぐい</x:v>
      </x:c>
      <x:c r="E120" s="62" t="str">
        <x:v>物品</x:v>
      </x:c>
      <x:c r="F120" s="61" t="str">
        <x:v>1080</x:v>
      </x:c>
      <x:c r="G120" s="65" t="str">
        <x:v>初期詳細名</x:v>
      </x:c>
      <x:c r="H120" s="63" t="n">
        <x:v>0</x:v>
      </x:c>
      <x:c r="I120" s="63" t="n">
        <x:v>0</x:v>
      </x:c>
      <x:c r="J120" s="63" t="n">
        <x:v>610</x:v>
      </x:c>
      <x:c r="K120" s="63" t="n">
        <x:v>0</x:v>
      </x:c>
      <x:c r="L120" s="63" t="n">
        <x:f>H120-I120-J120+K120</x:f>
        <x:v>-610</x:v>
      </x:c>
      <x:c r="M120" s="64" t="n">
        <x:v>43685</x:v>
      </x:c>
      <x:c r="N120" s="64" t="n">
        <x:v>46230</x:v>
      </x:c>
    </x:row>
    <x:row r="121" ht="22" customHeight="1">
      <x:c r="A121" s="60" t="n">
        <x:v>112</x:v>
      </x:c>
      <x:c r="B121" s="61" t="str">
        <x:v>89061</x:v>
      </x:c>
      <x:c r="C121" s="62" t="str">
        <x:v>ITARO-P-89061</x:v>
      </x:c>
      <x:c r="D121" s="65" t="str">
        <x:v>前掛け</x:v>
      </x:c>
      <x:c r="E121" s="62" t="str">
        <x:v>物品</x:v>
      </x:c>
      <x:c r="F121" s="61" t="str">
        <x:v>790</x:v>
      </x:c>
      <x:c r="G121" s="65" t="str">
        <x:v>初期詳細名</x:v>
      </x:c>
      <x:c r="H121" s="63" t="n">
        <x:v>0</x:v>
      </x:c>
      <x:c r="I121" s="63" t="n">
        <x:v>0</x:v>
      </x:c>
      <x:c r="J121" s="63" t="n">
        <x:v>315</x:v>
      </x:c>
      <x:c r="K121" s="63" t="n">
        <x:v>0</x:v>
      </x:c>
      <x:c r="L121" s="63" t="n">
        <x:f>H121-I121-J121+K121</x:f>
        <x:v>-315</x:v>
      </x:c>
      <x:c r="M121" s="64" t="n">
        <x:v>40210</x:v>
      </x:c>
      <x:c r="N121" s="64" t="n">
        <x:v>46198</x:v>
      </x:c>
    </x:row>
    <x:row r="122" ht="22" customHeight="1">
      <x:c r="A122" s="60" t="n">
        <x:v>113</x:v>
      </x:c>
      <x:c r="B122" s="61" t="str">
        <x:v>89071</x:v>
      </x:c>
      <x:c r="C122" s="62" t="str">
        <x:v>ITARO-P-89071</x:v>
      </x:c>
      <x:c r="D122" s="65" t="str">
        <x:v>ハッピ 1着</x:v>
      </x:c>
      <x:c r="E122" s="62" t="str">
        <x:v>物品</x:v>
      </x:c>
      <x:c r="F122" s="61" t="str">
        <x:v>791</x:v>
      </x:c>
      <x:c r="G122" s="65" t="str">
        <x:v>初期詳細名</x:v>
      </x:c>
      <x:c r="H122" s="63" t="n">
        <x:v>0</x:v>
      </x:c>
      <x:c r="I122" s="63" t="n">
        <x:v>0</x:v>
      </x:c>
      <x:c r="J122" s="63" t="n">
        <x:v>163</x:v>
      </x:c>
      <x:c r="K122" s="63" t="n">
        <x:v>0</x:v>
      </x:c>
      <x:c r="L122" s="63" t="n">
        <x:f>H122-I122-J122+K122</x:f>
        <x:v>-163</x:v>
      </x:c>
      <x:c r="M122" s="64" t="n">
        <x:v>40282</x:v>
      </x:c>
      <x:c r="N122" s="64" t="n">
        <x:v>46218</x:v>
      </x:c>
    </x:row>
    <x:row r="123" ht="22" customHeight="1">
      <x:c r="A123" s="60" t="n">
        <x:v>114</x:v>
      </x:c>
      <x:c r="B123" s="61" t="str">
        <x:v>89081</x:v>
      </x:c>
      <x:c r="C123" s="62" t="str">
        <x:v>ITARO-P-89081</x:v>
      </x:c>
      <x:c r="D123" s="65" t="str">
        <x:v>盃 1個</x:v>
      </x:c>
      <x:c r="E123" s="62" t="str">
        <x:v>物品</x:v>
      </x:c>
      <x:c r="F123" s="61" t="str">
        <x:v>792</x:v>
      </x:c>
      <x:c r="G123" s="65" t="str">
        <x:v>初期詳細名</x:v>
      </x:c>
      <x:c r="H123" s="63" t="n">
        <x:v>0</x:v>
      </x:c>
      <x:c r="I123" s="63" t="n">
        <x:v>0</x:v>
      </x:c>
      <x:c r="J123" s="63" t="n">
        <x:v>8</x:v>
      </x:c>
      <x:c r="K123" s="63" t="n">
        <x:v>0</x:v>
      </x:c>
      <x:c r="L123" s="63" t="n">
        <x:f>H123-I123-J123+K123</x:f>
        <x:v>-8</x:v>
      </x:c>
      <x:c r="M123" s="64" t="n">
        <x:v>40861</x:v>
      </x:c>
      <x:c r="N123" s="64" t="n">
        <x:v>41580</x:v>
      </x:c>
    </x:row>
    <x:row r="124" ht="22" customHeight="1">
      <x:c r="A124" s="60" t="n">
        <x:v>115</x:v>
      </x:c>
      <x:c r="B124" s="61" t="str">
        <x:v>89091</x:v>
      </x:c>
      <x:c r="C124" s="62" t="str">
        <x:v>ITARO-P-89091</x:v>
      </x:c>
      <x:c r="D124" s="65" t="str">
        <x:v>のぼり旗</x:v>
      </x:c>
      <x:c r="E124" s="62" t="str">
        <x:v>物品</x:v>
      </x:c>
      <x:c r="F124" s="61" t="str">
        <x:v>970</x:v>
      </x:c>
      <x:c r="G124" s="65" t="str">
        <x:v>初期詳細名</x:v>
      </x:c>
      <x:c r="H124" s="63" t="n">
        <x:v>0</x:v>
      </x:c>
      <x:c r="I124" s="63" t="n">
        <x:v>0</x:v>
      </x:c>
      <x:c r="J124" s="63" t="n">
        <x:v>182</x:v>
      </x:c>
      <x:c r="K124" s="63" t="n">
        <x:v>0</x:v>
      </x:c>
      <x:c r="L124" s="63" t="n">
        <x:f>H124-I124-J124+K124</x:f>
        <x:v>-182</x:v>
      </x:c>
      <x:c r="M124" s="64" t="n">
        <x:v>41785</x:v>
      </x:c>
      <x:c r="N124" s="64" t="n">
        <x:v>45959</x:v>
      </x:c>
    </x:row>
  </x:sheetData>
  <x:mergeCells>
    <x:mergeCell ref="A1:N1"/>
    <x:mergeCell ref="A2:N2"/>
    <x:mergeCell ref="D4:N6"/>
  </x:mergeCells>
  <x:conditionalFormatting sqref="L10:L124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386f6a4176f494d"/>
  </x:tableParts>
</x:worksheet>
</file>